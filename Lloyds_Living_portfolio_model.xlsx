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Rent assumptions" sheetId="3" state="visible" r:id="rId5"/>
    <sheet name="Asset register" sheetId="4" state="visible" r:id="rId6"/>
    <sheet name="Budget and yield" sheetId="5" state="visible" r:id="rId7"/>
    <sheet name="Occupancy"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<sst xmlns="http://schemas.openxmlformats.org/spreadsheetml/2006/main" count="234" uniqueCount="165">
  <si>
    <t xml:space="preserve">Lloyds Living portfolio model</t>
  </si>
  <si>
    <t xml:space="preserve">Barratt Redrow portfolio, 980 homes. Prepared by Nishant Vatnal, Analyst.</t>
  </si>
  <si>
    <t xml:space="preserve">What this is</t>
  </si>
  <si>
    <t xml:space="preserve">A working model of the 980 home portfolio Lloyds Living signed with Barratt Redrow in July 2026. It mirrors the financial model on the web version of this project.</t>
  </si>
  <si>
    <t xml:space="preserve">How to use it</t>
  </si>
  <si>
    <t xml:space="preserve">Every blue cell is an input. Change one and the whole workbook recalculates. The two levers people ask about most are the void rate and rent growth, both on the Assumptions sheet.</t>
  </si>
  <si>
    <t xml:space="preserve">Colour convention</t>
  </si>
  <si>
    <t xml:space="preserve">Blue text is an input you can change. Black text is a formula. Green text is a link to another sheet. Yellow fill marks the two key levers.</t>
  </si>
  <si>
    <t xml:space="preserve">Confirmed facts</t>
  </si>
  <si>
    <t xml:space="preserve">980 homes across 14 developments. Six counties: Cambridgeshire, Northamptonshire, Nottinghamshire, Merseyside, East Anglia and the West Midlands. 255 homes in East Anglia. First lettings autumn 2026 at Hampton Beach, Peterborough and Burleyfields, Stafford. Every home EPC B or better, many with air source heat pumps, all managed in house. Source: public Lloyds Living announcement, July 2026.</t>
  </si>
  <si>
    <t xml:space="preserve">Modelled by me</t>
  </si>
  <si>
    <t xml:space="preserve">The twelve site locations other than Hampton Beach and Burleyfields are my own split of the announced counties, so the pipeline can be planned site by site. The Source column on the asset register says which is which. Unit mix, rents, cost per home, running costs, voids and arrears are all my own estimates.</t>
  </si>
  <si>
    <t xml:space="preserve">Comparator data</t>
  </si>
  <si>
    <t xml:space="preserve">The occupancy sheet uses the 598 homes bought from Barratt Redrow in 2025 as the closest read across for how the new portfolio will let up. The monthly figures are modelled.</t>
  </si>
  <si>
    <t xml:space="preserve">Sheets</t>
  </si>
  <si>
    <t xml:space="preserve">Assumptions holds every lever. Rent assumptions holds rents and cost per home by region. Asset register holds the stock. Budget and yield turns rent into a return. Occupancy tracks lease up and arrears. Sensitivity shows the yield across a range of voids and rent growth.</t>
  </si>
  <si>
    <t xml:space="preserve">Not a Lloyds publication</t>
  </si>
  <si>
    <t xml:space="preserve">This is a personal portfolio project. It uses no internal or confidential information.</t>
  </si>
  <si>
    <t xml:space="preserve">Assumptions</t>
  </si>
  <si>
    <t xml:space="preserve">Blue cells are inputs. Yellow fill marks the two levers that move the answer most.</t>
  </si>
  <si>
    <t xml:space="preserve">Assumption</t>
  </si>
  <si>
    <t xml:space="preserve">Value</t>
  </si>
  <si>
    <t xml:space="preserve">Where it comes from</t>
  </si>
  <si>
    <t xml:space="preserve">Rent growth applied to all rents</t>
  </si>
  <si>
    <t xml:space="preserve">My assumption. Base case holds rents in 2026 money so the yield is not flattered by growth.</t>
  </si>
  <si>
    <t xml:space="preserve">Void rate</t>
  </si>
  <si>
    <t xml:space="preserve">My assumption. Share of the year an average home sits empty between tenants.</t>
  </si>
  <si>
    <t xml:space="preserve">Rent never collected, bad debt</t>
  </si>
  <si>
    <t xml:space="preserve">My assumption, set low because these are new build family homes on longer tenancies.</t>
  </si>
  <si>
    <t xml:space="preserve">Property management fee</t>
  </si>
  <si>
    <t xml:space="preserve">My assumption. Internal recharge for the in house team. No external agent fee applies.</t>
  </si>
  <si>
    <t xml:space="preserve">Repairs and maintenance per home</t>
  </si>
  <si>
    <t xml:space="preserve">My assumption. Low in early years because the stock is new and EPC B or better.</t>
  </si>
  <si>
    <t xml:space="preserve">Insurance per home</t>
  </si>
  <si>
    <t xml:space="preserve">My assumption.</t>
  </si>
  <si>
    <t xml:space="preserve">Estate and service charges per home</t>
  </si>
  <si>
    <t xml:space="preserve">My assumption. Estate charges on new build developments.</t>
  </si>
  <si>
    <t xml:space="preserve">Letting and turnover costs per home</t>
  </si>
  <si>
    <t xml:space="preserve">My assumption. Marketing, referencing and turnaround between tenancies.</t>
  </si>
  <si>
    <t xml:space="preserve">Compliance and safety checks per home</t>
  </si>
  <si>
    <t xml:space="preserve">My assumption. Gas, electrical and alarm testing.</t>
  </si>
  <si>
    <t xml:space="preserve">Total running cost per home</t>
  </si>
  <si>
    <t xml:space="preserve">Sum of the five lines above.</t>
  </si>
  <si>
    <t xml:space="preserve">Acquisition costs</t>
  </si>
  <si>
    <t xml:space="preserve">My assumption. Legal, tax and due diligence on purchase.</t>
  </si>
  <si>
    <t xml:space="preserve">Comparator cohort, homes</t>
  </si>
  <si>
    <t xml:space="preserve">Real. Homes bought from Barratt Redrow in 2025, used as the lease up comparator.</t>
  </si>
  <si>
    <t xml:space="preserve">Rent assumptions by region</t>
  </si>
  <si>
    <t xml:space="preserve">Monthly asking rents in 2026 money, and the all in cost of buying a home in each region.</t>
  </si>
  <si>
    <t xml:space="preserve">Region</t>
  </si>
  <si>
    <t xml:space="preserve">1 bed</t>
  </si>
  <si>
    <t xml:space="preserve">2 bed</t>
  </si>
  <si>
    <t xml:space="preserve">3 bed</t>
  </si>
  <si>
    <t xml:space="preserve">4 bed</t>
  </si>
  <si>
    <t xml:space="preserve">Cost per home</t>
  </si>
  <si>
    <t xml:space="preserve">Cambridgeshire and Northamptonshire</t>
  </si>
  <si>
    <t xml:space="preserve">East Anglia</t>
  </si>
  <si>
    <t xml:space="preserve">Nottinghamshire</t>
  </si>
  <si>
    <t xml:space="preserve">Merseyside</t>
  </si>
  <si>
    <t xml:space="preserve">West Midlands</t>
  </si>
  <si>
    <t xml:space="preserve">Rents are my own estimates, set from local evidence for the same size of house with a small premium for a new build in our management. Cost per home is a modelled regional average of the purchase price.</t>
  </si>
  <si>
    <t xml:space="preserve">Rents with the growth assumption applied</t>
  </si>
  <si>
    <t xml:space="preserve">Growth applied</t>
  </si>
  <si>
    <t xml:space="preserve">What each region contributes</t>
  </si>
  <si>
    <t xml:space="preserve">Homes</t>
  </si>
  <si>
    <t xml:space="preserve">Gross rent a year</t>
  </si>
  <si>
    <t xml:space="preserve">Weighted average rent a month</t>
  </si>
  <si>
    <t xml:space="preserve">Capital</t>
  </si>
  <si>
    <t xml:space="preserve">Gross yield on cost</t>
  </si>
  <si>
    <t xml:space="preserve">Portfolio</t>
  </si>
  <si>
    <t xml:space="preserve">Asset register</t>
  </si>
  <si>
    <t xml:space="preserve">Every site, the capital it takes and the rent it makes once it is full. 980 homes across 14 developments.</t>
  </si>
  <si>
    <t xml:space="preserve">Site</t>
  </si>
  <si>
    <t xml:space="preserve">EPC</t>
  </si>
  <si>
    <t xml:space="preserve">First handover</t>
  </si>
  <si>
    <t xml:space="preserve">2026</t>
  </si>
  <si>
    <t xml:space="preserve">2027</t>
  </si>
  <si>
    <t xml:space="preserve">2028</t>
  </si>
  <si>
    <t xml:space="preserve">2029</t>
  </si>
  <si>
    <t xml:space="preserve">Check</t>
  </si>
  <si>
    <t xml:space="preserve">Source</t>
  </si>
  <si>
    <t xml:space="preserve">Hampton Beach, Peterborough</t>
  </si>
  <si>
    <t xml:space="preserve">A</t>
  </si>
  <si>
    <t xml:space="preserve">Autumn 2026</t>
  </si>
  <si>
    <t xml:space="preserve">Named in announcement</t>
  </si>
  <si>
    <t xml:space="preserve">Wellingborough</t>
  </si>
  <si>
    <t xml:space="preserve">B</t>
  </si>
  <si>
    <t xml:space="preserve">H1 2027</t>
  </si>
  <si>
    <t xml:space="preserve">Modelled site split</t>
  </si>
  <si>
    <t xml:space="preserve">Kettering</t>
  </si>
  <si>
    <t xml:space="preserve">H2 2028</t>
  </si>
  <si>
    <t xml:space="preserve">Hucknall</t>
  </si>
  <si>
    <t xml:space="preserve">H2 2027</t>
  </si>
  <si>
    <t xml:space="preserve">Newark</t>
  </si>
  <si>
    <t xml:space="preserve">Bingham</t>
  </si>
  <si>
    <t xml:space="preserve">H1 2029</t>
  </si>
  <si>
    <t xml:space="preserve">St Helens</t>
  </si>
  <si>
    <t xml:space="preserve">Prescot</t>
  </si>
  <si>
    <t xml:space="preserve">H1 2028</t>
  </si>
  <si>
    <t xml:space="preserve">Kirkby</t>
  </si>
  <si>
    <t xml:space="preserve">Burleyfields, Stafford</t>
  </si>
  <si>
    <t xml:space="preserve">Tamworth</t>
  </si>
  <si>
    <t xml:space="preserve">Rugeley</t>
  </si>
  <si>
    <t xml:space="preserve">Bury St Edmunds</t>
  </si>
  <si>
    <t xml:space="preserve">Thetford</t>
  </si>
  <si>
    <t xml:space="preserve">Five regions</t>
  </si>
  <si>
    <t xml:space="preserve">Check column must read zero on every row. It confirms the year by year phasing adds back to the total homes on that site.</t>
  </si>
  <si>
    <t xml:space="preserve">Hampton Beach and Burleyfields are named in the Lloyds Living announcement. The other twelve locations are my own split of the announced counties so the pipeline can be planned site by site.</t>
  </si>
  <si>
    <t xml:space="preserve">Budget and stabilised yield</t>
  </si>
  <si>
    <t xml:space="preserve">The whole portfolio once it is full and settled, so 2030 in practice. Costs are annual.</t>
  </si>
  <si>
    <t xml:space="preserve">Line</t>
  </si>
  <si>
    <t xml:space="preserve">Amount a year</t>
  </si>
  <si>
    <t xml:space="preserve">Share of rent</t>
  </si>
  <si>
    <t xml:space="preserve">Per home</t>
  </si>
  <si>
    <t xml:space="preserve">Rent a year with every home let</t>
  </si>
  <si>
    <t xml:space="preserve">Empty homes</t>
  </si>
  <si>
    <t xml:space="preserve">Rent never collected</t>
  </si>
  <si>
    <t xml:space="preserve">Rent actually collected</t>
  </si>
  <si>
    <t xml:space="preserve">Property management, our own team</t>
  </si>
  <si>
    <t xml:space="preserve">Repairs and maintenance</t>
  </si>
  <si>
    <t xml:space="preserve">Insurance</t>
  </si>
  <si>
    <t xml:space="preserve">Estate and service charges</t>
  </si>
  <si>
    <t xml:space="preserve">Letting and turnover costs</t>
  </si>
  <si>
    <t xml:space="preserve">Compliance and safety checks</t>
  </si>
  <si>
    <t xml:space="preserve">Net operating income</t>
  </si>
  <si>
    <t xml:space="preserve">Capital and return</t>
  </si>
  <si>
    <t xml:space="preserve">Purchase price</t>
  </si>
  <si>
    <t xml:space="preserve">Total capital</t>
  </si>
  <si>
    <t xml:space="preserve">Gross yield on total capital</t>
  </si>
  <si>
    <t xml:space="preserve">Net stabilised yield</t>
  </si>
  <si>
    <t xml:space="preserve">Net operating income per home</t>
  </si>
  <si>
    <t xml:space="preserve">There is no external letting agent fee in this budget because every home is managed by our own team. At a typical agency rate that would be worth about half a million pounds a year.</t>
  </si>
  <si>
    <t xml:space="preserve">Occupancy and arrears</t>
  </si>
  <si>
    <t xml:space="preserve">Twelve months on the 598 homes bought from Barratt Redrow in 2025, used as the lease up comparator.</t>
  </si>
  <si>
    <t xml:space="preserve">Month</t>
  </si>
  <si>
    <t xml:space="preserve">Homes let</t>
  </si>
  <si>
    <t xml:space="preserve">Occupancy</t>
  </si>
  <si>
    <t xml:space="preserve">Average rent</t>
  </si>
  <si>
    <t xml:space="preserve">Rent due</t>
  </si>
  <si>
    <t xml:space="preserve">Collection rate</t>
  </si>
  <si>
    <t xml:space="preserve">Rent collected</t>
  </si>
  <si>
    <t xml:space="preserve">Arrears share</t>
  </si>
  <si>
    <t xml:space="preserve">Arrears</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</si>
  <si>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</si>
  <si>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</si>
  <si>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</si>
  <si>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</si>
  <si>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</si>
  <si>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</si>
  <si>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</si>
  <si>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</si>
  <si>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</si>
  <si>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</si>
  <si>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</si>
  <si>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</si>
  <si>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Twelve months</t>
  </si>
  <si>
    <t xml:space="preserve">It took about nine months to get from handover to 97 percent let, and collection improved as the estates settled. That is the shape assumed for every new site in the pipeline, which is why the mobilisation spend is front loaded.</t>
  </si>
  <si>
    <t xml:space="preserve">Homes let, average rent, collection rate and arrears share are my own modelled figures. The 598 home cohort is real.</t>
  </si>
  <si>
    <t xml:space="preserve">Sensitivity</t>
  </si>
  <si>
    <t xml:space="preserve">Net stabilised yield as the void rate and rent growth move. Voids move the answer more than growth does.</t>
  </si>
  <si>
    <t xml:space="preserve">Gross rent at zero growth</t>
  </si>
  <si>
    <t xml:space="preserve">Running cost per home</t>
  </si>
  <si>
    <t xml:space="preserve">Rent growth</t>
  </si>
  <si>
    <t xml:space="preserve">Read this as a range, not a forecast. Across the whole grid the yield moves between about 4.4 and 5.0 percent. The void rate moves it more than rent growth does in the early years, which is the argument for spending money on mobilisation rather than hoping the market carries us.</t>
  </si>
  <si>
    <t xml:space="preserve">The grid is worked out independently of the Assumptions sheet levers, so it always shows the full range. The Budget and yield sheet shows wherever the levers are currently set.</t>
  </si>
</sst>
</file>

<file path=xl/styles.xml><?xml version="1.0" encoding="utf-8"?>
<styleSheet xmlns="http://schemas.openxmlformats.org/spreadsheetml/2006/main">
  <numFmts count="5">
    <numFmt numFmtId="164" formatCode="General"/>
    <numFmt numFmtId="165" formatCode="0.0%;\(0.0%\);\-"/>
    <numFmt numFmtId="166" formatCode="\£#,##0;&quot;(£&quot;#,##0\);\-"/>
    <numFmt numFmtId="167" formatCode="#,##0;\(#,##0\);\-"/>
    <numFmt numFmtId="168" formatCode="0.00%;\(0.00%\);\-"/>
  </numFmts>
  <fonts count="12">
    <font>
      <sz val="11"/>
      <color theme="1"/>
      <name val="Calibri"/>
      <family val="2"/>
      <charset val="1"/>
    </font>
    <font>
      <sz val="10"/>
      <name val="Arial"/>
      <family val="0"/>
    </font>
    <font>
      <sz val="10"/>
      <name val="Arial"/>
      <family val="0"/>
    </font>
    <font>
      <sz val="10"/>
      <name val="Arial"/>
      <family val="0"/>
    </font>
    <font>
      <b val="true"/>
      <sz val="16"/>
      <color rgb="FF0C0D0E"/>
      <name val="Arial"/>
      <family val="0"/>
      <charset val="1"/>
    </font>
    <font>
      <i val="true"/>
      <sz val="9"/>
      <color rgb="FF6E7379"/>
      <name val="Arial"/>
      <family val="0"/>
      <charset val="1"/>
    </font>
    <font>
      <b val="true"/>
      <sz val="11"/>
      <color rgb="FF0C0D0E"/>
      <name val="Arial"/>
      <family val="0"/>
      <charset val="1"/>
    </font>
    <font>
      <sz val="10"/>
      <name val="Arial"/>
      <family val="0"/>
      <charset val="1"/>
    </font>
    <font>
      <b val="true"/>
      <sz val="9"/>
      <color rgb="FFFFFFFF"/>
      <name val="Arial"/>
      <family val="0"/>
      <charset val="1"/>
    </font>
    <font>
      <sz val="10"/>
      <color rgb="FF0000FF"/>
      <name val="Arial"/>
      <family val="0"/>
      <charset val="1"/>
    </font>
    <font>
      <sz val="10"/>
      <color rgb="FF008000"/>
      <name val="Arial"/>
      <family val="0"/>
      <charset val="1"/>
    </font>
    <font>
      <b val="true"/>
      <sz val="10"/>
      <name val="Arial"/>
      <family val="0"/>
      <charset val="1"/>
    </font>
  </fonts>
  <fills count="4">
    <fill>
      <patternFill patternType="none"/>
    </fill>
    <fill>
      <patternFill patternType="gray125"/>
    </fill>
    <fill>
      <patternFill patternType="solid">
        <fgColor rgb="FF0C0D0E"/>
        <bgColor rgb="FF000000"/>
      </patternFill>
    </fill>
    <fill>
      <patternFill patternType="solid">
        <fgColor rgb="FFFFFF00"/>
        <bgColor rgb="FFFFFF00"/>
      </patternFill>
    </fill>
  </fills>
  <borders count="3">
    <border diagonalUp="false" diagonalDown="false">
      <left/>
      <right/>
      <top/>
      <bottom/>
      <diagonal/>
    </border>
    <border diagonalUp="false" diagonalDown="false">
      <left/>
      <right/>
      <top/>
      <bottom style="thin">
        <color rgb="FFD6D9DB"/>
      </bottom>
      <diagonal/>
    </border>
    <border diagonalUp="false" diagonalDown="false">
      <left/>
      <right/>
      <top style="thin">
        <color rgb="FF0C0D0E"/>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7" fontId="11"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68" fontId="11" fillId="0" borderId="2"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E7379"/>
      <rgbColor rgb="FF9999FF"/>
      <rgbColor rgb="FF993366"/>
      <rgbColor rgb="FFFFFFCC"/>
      <rgbColor rgb="FFCCFFFF"/>
      <rgbColor rgb="FF660066"/>
      <rgbColor rgb="FFFF8080"/>
      <rgbColor rgb="FF0066CC"/>
      <rgbColor rgb="FFD6D9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C0D0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21.75" hidden="false" customHeight="true" outlineLevel="0" collapsed="false">
      <c r="A1" s="1" t="s">
        <v>0</v>
      </c>
    </row>
    <row r="2" customFormat="false" ht="15" hidden="false" customHeight="false" outlineLevel="0" collapsed="false">
      <c r="A2" s="2" t="s">
        <v>1</v>
      </c>
    </row>
    <row r="5" customFormat="false" ht="25.5" hidden="false" customHeight="true" outlineLevel="0" collapsed="false">
      <c r="A5" s="3" t="s">
        <v>2</v>
      </c>
      <c r="B5" s="4" t="s">
        <v>3</v>
      </c>
    </row>
    <row r="6" customFormat="false" ht="25.5" hidden="false" customHeight="true" outlineLevel="0" collapsed="false">
      <c r="A6" s="3" t="s">
        <v>4</v>
      </c>
      <c r="B6" s="4" t="s">
        <v>5</v>
      </c>
    </row>
    <row r="7" customFormat="false" ht="25.5" hidden="false" customHeight="true" outlineLevel="0" collapsed="false">
      <c r="A7" s="3" t="s">
        <v>6</v>
      </c>
      <c r="B7" s="4" t="s">
        <v>7</v>
      </c>
    </row>
    <row r="8" customFormat="false" ht="15" hidden="false" customHeight="true" outlineLevel="0" collapsed="false">
      <c r="A8" s="3"/>
      <c r="B8" s="4"/>
    </row>
    <row r="9" customFormat="false" ht="64.5" hidden="false" customHeight="true" outlineLevel="0" collapsed="false">
      <c r="A9" s="3" t="s">
        <v>8</v>
      </c>
      <c r="B9" s="4" t="s">
        <v>9</v>
      </c>
    </row>
    <row r="10" customFormat="false" ht="51.75" hidden="false" customHeight="true" outlineLevel="0" collapsed="false">
      <c r="A10" s="3" t="s">
        <v>10</v>
      </c>
      <c r="B10" s="4" t="s">
        <v>11</v>
      </c>
    </row>
    <row r="11" customFormat="false" ht="25.5" hidden="false" customHeight="true" outlineLevel="0" collapsed="false">
      <c r="A11" s="3" t="s">
        <v>12</v>
      </c>
      <c r="B11" s="4" t="s">
        <v>13</v>
      </c>
    </row>
    <row r="12" customFormat="false" ht="15" hidden="false" customHeight="true" outlineLevel="0" collapsed="false">
      <c r="A12" s="3"/>
      <c r="B12" s="4"/>
    </row>
    <row r="13" customFormat="false" ht="39" hidden="false" customHeight="true" outlineLevel="0" collapsed="false">
      <c r="A13" s="3" t="s">
        <v>14</v>
      </c>
      <c r="B13" s="4" t="s">
        <v>15</v>
      </c>
    </row>
    <row r="14" customFormat="false" ht="15" hidden="false" customHeight="true" outlineLevel="0" collapsed="false">
      <c r="A14" s="3" t="s">
        <v>16</v>
      </c>
      <c r="B14"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78"/>
  </cols>
  <sheetData>
    <row r="1" customFormat="false" ht="21.75" hidden="false" customHeight="true" outlineLevel="0" collapsed="false">
      <c r="A1" s="1" t="s">
        <v>18</v>
      </c>
    </row>
    <row r="2" customFormat="false" ht="15" hidden="false" customHeight="false" outlineLevel="0" collapsed="false">
      <c r="A2" s="2" t="s">
        <v>19</v>
      </c>
    </row>
    <row r="4" customFormat="false" ht="30" hidden="false" customHeight="true" outlineLevel="0" collapsed="false">
      <c r="A4" s="5" t="s">
        <v>20</v>
      </c>
      <c r="B4" s="6" t="s">
        <v>21</v>
      </c>
      <c r="C4" s="6" t="s">
        <v>22</v>
      </c>
    </row>
    <row r="5" customFormat="false" ht="15" hidden="false" customHeight="false" outlineLevel="0" collapsed="false">
      <c r="A5" s="7" t="s">
        <v>23</v>
      </c>
      <c r="B5" s="8" t="n">
        <v>0</v>
      </c>
      <c r="C5" s="9" t="s">
        <v>24</v>
      </c>
    </row>
    <row r="6" customFormat="false" ht="15" hidden="false" customHeight="false" outlineLevel="0" collapsed="false">
      <c r="A6" s="7" t="s">
        <v>25</v>
      </c>
      <c r="B6" s="8" t="n">
        <v>0.045</v>
      </c>
      <c r="C6" s="9" t="s">
        <v>26</v>
      </c>
    </row>
    <row r="7" customFormat="false" ht="15" hidden="false" customHeight="false" outlineLevel="0" collapsed="false">
      <c r="A7" s="7" t="s">
        <v>27</v>
      </c>
      <c r="B7" s="10" t="n">
        <v>0.008</v>
      </c>
      <c r="C7" s="9" t="s">
        <v>28</v>
      </c>
    </row>
    <row r="8" customFormat="false" ht="15" hidden="false" customHeight="false" outlineLevel="0" collapsed="false">
      <c r="A8" s="7" t="s">
        <v>29</v>
      </c>
      <c r="B8" s="10" t="n">
        <v>0.035</v>
      </c>
      <c r="C8" s="9" t="s">
        <v>30</v>
      </c>
    </row>
    <row r="9" customFormat="false" ht="15" hidden="false" customHeight="false" outlineLevel="0" collapsed="false">
      <c r="A9" s="7" t="s">
        <v>31</v>
      </c>
      <c r="B9" s="11" t="n">
        <v>550</v>
      </c>
      <c r="C9" s="9" t="s">
        <v>32</v>
      </c>
    </row>
    <row r="10" customFormat="false" ht="15" hidden="false" customHeight="false" outlineLevel="0" collapsed="false">
      <c r="A10" s="7" t="s">
        <v>33</v>
      </c>
      <c r="B10" s="11" t="n">
        <v>185</v>
      </c>
      <c r="C10" s="9" t="s">
        <v>34</v>
      </c>
    </row>
    <row r="11" customFormat="false" ht="15" hidden="false" customHeight="false" outlineLevel="0" collapsed="false">
      <c r="A11" s="7" t="s">
        <v>35</v>
      </c>
      <c r="B11" s="11" t="n">
        <v>140</v>
      </c>
      <c r="C11" s="9" t="s">
        <v>36</v>
      </c>
    </row>
    <row r="12" customFormat="false" ht="15" hidden="false" customHeight="false" outlineLevel="0" collapsed="false">
      <c r="A12" s="7" t="s">
        <v>37</v>
      </c>
      <c r="B12" s="11" t="n">
        <v>95</v>
      </c>
      <c r="C12" s="9" t="s">
        <v>38</v>
      </c>
    </row>
    <row r="13" customFormat="false" ht="15" hidden="false" customHeight="false" outlineLevel="0" collapsed="false">
      <c r="A13" s="7" t="s">
        <v>39</v>
      </c>
      <c r="B13" s="11" t="n">
        <v>75</v>
      </c>
      <c r="C13" s="9" t="s">
        <v>40</v>
      </c>
    </row>
    <row r="14" customFormat="false" ht="15" hidden="false" customHeight="false" outlineLevel="0" collapsed="false">
      <c r="A14" s="7" t="s">
        <v>41</v>
      </c>
      <c r="B14" s="12" t="n">
        <f aca="false">SUM(B9:B13)</f>
        <v>1045</v>
      </c>
      <c r="C14" s="9" t="s">
        <v>42</v>
      </c>
    </row>
    <row r="15" customFormat="false" ht="15" hidden="false" customHeight="false" outlineLevel="0" collapsed="false">
      <c r="A15" s="7" t="s">
        <v>43</v>
      </c>
      <c r="B15" s="10" t="n">
        <v>0.018</v>
      </c>
      <c r="C15" s="9" t="s">
        <v>44</v>
      </c>
    </row>
    <row r="16" customFormat="false" ht="15" hidden="false" customHeight="false" outlineLevel="0" collapsed="false">
      <c r="A16" s="7" t="s">
        <v>45</v>
      </c>
      <c r="B16" s="13" t="n">
        <v>598</v>
      </c>
      <c r="C16" s="9"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2"/>
    <col collapsed="false" customWidth="true" hidden="false" outlineLevel="0" max="6" min="6" style="0" width="15"/>
  </cols>
  <sheetData>
    <row r="1" customFormat="false" ht="21.75" hidden="false" customHeight="true" outlineLevel="0" collapsed="false">
      <c r="A1" s="1" t="s">
        <v>47</v>
      </c>
    </row>
    <row r="2" customFormat="false" ht="15" hidden="false" customHeight="false" outlineLevel="0" collapsed="false">
      <c r="A2" s="2" t="s">
        <v>48</v>
      </c>
    </row>
    <row r="4" customFormat="false" ht="30" hidden="false" customHeight="true" outlineLevel="0" collapsed="false">
      <c r="A4" s="5" t="s">
        <v>49</v>
      </c>
      <c r="B4" s="6" t="s">
        <v>50</v>
      </c>
      <c r="C4" s="6" t="s">
        <v>51</v>
      </c>
      <c r="D4" s="6" t="s">
        <v>52</v>
      </c>
      <c r="E4" s="6" t="s">
        <v>53</v>
      </c>
      <c r="F4" s="6" t="s">
        <v>54</v>
      </c>
    </row>
    <row r="5" customFormat="false" ht="15" hidden="false" customHeight="false" outlineLevel="0" collapsed="false">
      <c r="A5" s="7" t="s">
        <v>55</v>
      </c>
      <c r="B5" s="14" t="n">
        <v>850</v>
      </c>
      <c r="C5" s="14" t="n">
        <v>1025</v>
      </c>
      <c r="D5" s="14" t="n">
        <v>1250</v>
      </c>
      <c r="E5" s="14" t="n">
        <v>1495</v>
      </c>
      <c r="F5" s="14" t="n">
        <v>268000</v>
      </c>
    </row>
    <row r="6" customFormat="false" ht="15" hidden="false" customHeight="false" outlineLevel="0" collapsed="false">
      <c r="A6" s="7" t="s">
        <v>56</v>
      </c>
      <c r="B6" s="14" t="n">
        <v>795</v>
      </c>
      <c r="C6" s="14" t="n">
        <v>950</v>
      </c>
      <c r="D6" s="14" t="n">
        <v>1175</v>
      </c>
      <c r="E6" s="14" t="n">
        <v>1425</v>
      </c>
      <c r="F6" s="14" t="n">
        <v>252000</v>
      </c>
    </row>
    <row r="7" customFormat="false" ht="15" hidden="false" customHeight="false" outlineLevel="0" collapsed="false">
      <c r="A7" s="7" t="s">
        <v>57</v>
      </c>
      <c r="B7" s="14" t="n">
        <v>775</v>
      </c>
      <c r="C7" s="14" t="n">
        <v>925</v>
      </c>
      <c r="D7" s="14" t="n">
        <v>1110</v>
      </c>
      <c r="E7" s="14" t="n">
        <v>1325</v>
      </c>
      <c r="F7" s="14" t="n">
        <v>222000</v>
      </c>
    </row>
    <row r="8" customFormat="false" ht="15" hidden="false" customHeight="false" outlineLevel="0" collapsed="false">
      <c r="A8" s="7" t="s">
        <v>58</v>
      </c>
      <c r="B8" s="14" t="n">
        <v>725</v>
      </c>
      <c r="C8" s="14" t="n">
        <v>875</v>
      </c>
      <c r="D8" s="14" t="n">
        <v>1050</v>
      </c>
      <c r="E8" s="14" t="n">
        <v>1250</v>
      </c>
      <c r="F8" s="14" t="n">
        <v>205000</v>
      </c>
    </row>
    <row r="9" customFormat="false" ht="15" hidden="false" customHeight="false" outlineLevel="0" collapsed="false">
      <c r="A9" s="7" t="s">
        <v>59</v>
      </c>
      <c r="B9" s="14" t="n">
        <v>775</v>
      </c>
      <c r="C9" s="14" t="n">
        <v>950</v>
      </c>
      <c r="D9" s="14" t="n">
        <v>1150</v>
      </c>
      <c r="E9" s="14" t="n">
        <v>1375</v>
      </c>
      <c r="F9" s="14" t="n">
        <v>228000</v>
      </c>
    </row>
    <row r="11" customFormat="false" ht="15" hidden="false" customHeight="false" outlineLevel="0" collapsed="false">
      <c r="A11" s="2" t="s">
        <v>60</v>
      </c>
    </row>
    <row r="13" customFormat="false" ht="15" hidden="false" customHeight="false" outlineLevel="0" collapsed="false">
      <c r="A13" s="3" t="s">
        <v>61</v>
      </c>
    </row>
    <row r="14" customFormat="false" ht="30" hidden="false" customHeight="true" outlineLevel="0" collapsed="false">
      <c r="A14" s="5" t="s">
        <v>49</v>
      </c>
      <c r="B14" s="6" t="s">
        <v>50</v>
      </c>
      <c r="C14" s="6" t="s">
        <v>51</v>
      </c>
      <c r="D14" s="6" t="s">
        <v>52</v>
      </c>
      <c r="E14" s="6" t="s">
        <v>53</v>
      </c>
      <c r="F14" s="6" t="s">
        <v>62</v>
      </c>
    </row>
    <row r="15" customFormat="false" ht="15" hidden="false" customHeight="false" outlineLevel="0" collapsed="false">
      <c r="A15" s="15" t="str">
        <f aca="false">'Rent assumptions'!A5</f>
        <v>Cambridgeshire and Northamptonshire</v>
      </c>
      <c r="B15" s="16" t="n">
        <f aca="false">B5*(1+Assumptions!$B$5)</f>
        <v>850</v>
      </c>
      <c r="C15" s="16" t="n">
        <f aca="false">C5*(1+Assumptions!$B$5)</f>
        <v>1025</v>
      </c>
      <c r="D15" s="16" t="n">
        <f aca="false">D5*(1+Assumptions!$B$5)</f>
        <v>1250</v>
      </c>
      <c r="E15" s="16" t="n">
        <f aca="false">E5*(1+Assumptions!$B$5)</f>
        <v>1495</v>
      </c>
      <c r="F15" s="17" t="n">
        <f aca="false">Assumptions!$B$5</f>
        <v>0</v>
      </c>
    </row>
    <row r="16" customFormat="false" ht="15" hidden="false" customHeight="false" outlineLevel="0" collapsed="false">
      <c r="A16" s="15" t="str">
        <f aca="false">'Rent assumptions'!A6</f>
        <v>East Anglia</v>
      </c>
      <c r="B16" s="16" t="n">
        <f aca="false">B6*(1+Assumptions!$B$5)</f>
        <v>795</v>
      </c>
      <c r="C16" s="16" t="n">
        <f aca="false">C6*(1+Assumptions!$B$5)</f>
        <v>950</v>
      </c>
      <c r="D16" s="16" t="n">
        <f aca="false">D6*(1+Assumptions!$B$5)</f>
        <v>1175</v>
      </c>
      <c r="E16" s="16" t="n">
        <f aca="false">E6*(1+Assumptions!$B$5)</f>
        <v>1425</v>
      </c>
      <c r="F16" s="17" t="n">
        <f aca="false">Assumptions!$B$5</f>
        <v>0</v>
      </c>
    </row>
    <row r="17" customFormat="false" ht="15" hidden="false" customHeight="false" outlineLevel="0" collapsed="false">
      <c r="A17" s="15" t="str">
        <f aca="false">'Rent assumptions'!A7</f>
        <v>Nottinghamshire</v>
      </c>
      <c r="B17" s="16" t="n">
        <f aca="false">B7*(1+Assumptions!$B$5)</f>
        <v>775</v>
      </c>
      <c r="C17" s="16" t="n">
        <f aca="false">C7*(1+Assumptions!$B$5)</f>
        <v>925</v>
      </c>
      <c r="D17" s="16" t="n">
        <f aca="false">D7*(1+Assumptions!$B$5)</f>
        <v>1110</v>
      </c>
      <c r="E17" s="16" t="n">
        <f aca="false">E7*(1+Assumptions!$B$5)</f>
        <v>1325</v>
      </c>
      <c r="F17" s="17" t="n">
        <f aca="false">Assumptions!$B$5</f>
        <v>0</v>
      </c>
    </row>
    <row r="18" customFormat="false" ht="15" hidden="false" customHeight="false" outlineLevel="0" collapsed="false">
      <c r="A18" s="15" t="str">
        <f aca="false">'Rent assumptions'!A8</f>
        <v>Merseyside</v>
      </c>
      <c r="B18" s="16" t="n">
        <f aca="false">B8*(1+Assumptions!$B$5)</f>
        <v>725</v>
      </c>
      <c r="C18" s="16" t="n">
        <f aca="false">C8*(1+Assumptions!$B$5)</f>
        <v>875</v>
      </c>
      <c r="D18" s="16" t="n">
        <f aca="false">D8*(1+Assumptions!$B$5)</f>
        <v>1050</v>
      </c>
      <c r="E18" s="16" t="n">
        <f aca="false">E8*(1+Assumptions!$B$5)</f>
        <v>1250</v>
      </c>
      <c r="F18" s="17" t="n">
        <f aca="false">Assumptions!$B$5</f>
        <v>0</v>
      </c>
    </row>
    <row r="19" customFormat="false" ht="15" hidden="false" customHeight="false" outlineLevel="0" collapsed="false">
      <c r="A19" s="15" t="str">
        <f aca="false">'Rent assumptions'!A9</f>
        <v>West Midlands</v>
      </c>
      <c r="B19" s="16" t="n">
        <f aca="false">B9*(1+Assumptions!$B$5)</f>
        <v>775</v>
      </c>
      <c r="C19" s="16" t="n">
        <f aca="false">C9*(1+Assumptions!$B$5)</f>
        <v>950</v>
      </c>
      <c r="D19" s="16" t="n">
        <f aca="false">D9*(1+Assumptions!$B$5)</f>
        <v>1150</v>
      </c>
      <c r="E19" s="16" t="n">
        <f aca="false">E9*(1+Assumptions!$B$5)</f>
        <v>1375</v>
      </c>
      <c r="F19" s="17" t="n">
        <f aca="false">Assumptions!$B$5</f>
        <v>0</v>
      </c>
    </row>
    <row r="21" customFormat="false" ht="15" hidden="false" customHeight="false" outlineLevel="0" collapsed="false">
      <c r="A21" s="3" t="s">
        <v>63</v>
      </c>
    </row>
    <row r="22" customFormat="false" ht="30" hidden="false" customHeight="true" outlineLevel="0" collapsed="false">
      <c r="A22" s="5" t="s">
        <v>49</v>
      </c>
      <c r="B22" s="6" t="s">
        <v>64</v>
      </c>
      <c r="C22" s="6" t="s">
        <v>65</v>
      </c>
      <c r="D22" s="6" t="s">
        <v>66</v>
      </c>
      <c r="E22" s="6" t="s">
        <v>67</v>
      </c>
      <c r="F22" s="6" t="s">
        <v>68</v>
      </c>
    </row>
    <row r="23" customFormat="false" ht="15" hidden="false" customHeight="false" outlineLevel="0" collapsed="false">
      <c r="A23" s="15" t="str">
        <f aca="false">A5</f>
        <v>Cambridgeshire and Northamptonshire</v>
      </c>
      <c r="B23" s="18" t="n">
        <f aca="false">SUMIF('Asset register'!$B$5:$B$18,$A23,'Asset register'!$G$5:$G$18)</f>
        <v>232</v>
      </c>
      <c r="C23" s="19" t="n">
        <f aca="false">SUMIF('Asset register'!$B$5:$B$18,$A23,'Asset register'!$P$5:$P$18)</f>
        <v>62176000</v>
      </c>
      <c r="D23" s="19" t="n">
        <f aca="false">IF(B23=0,0,C23/B23/12)</f>
        <v>22333.3333333333</v>
      </c>
      <c r="E23" s="19" t="n">
        <f aca="false">SUMIF('Asset register'!$B$5:$B$18,$A23,'Asset register'!$O$5:$O$18)</f>
        <v>804000</v>
      </c>
      <c r="F23" s="20" t="n">
        <f aca="false">IF(E23=0,0,C23/E23)</f>
        <v>77.3333333333333</v>
      </c>
    </row>
    <row r="24" customFormat="false" ht="15" hidden="false" customHeight="false" outlineLevel="0" collapsed="false">
      <c r="A24" s="15" t="str">
        <f aca="false">A6</f>
        <v>East Anglia</v>
      </c>
      <c r="B24" s="18" t="n">
        <f aca="false">SUMIF('Asset register'!$B$5:$B$18,$A24,'Asset register'!$G$5:$G$18)</f>
        <v>255</v>
      </c>
      <c r="C24" s="19" t="n">
        <f aca="false">SUMIF('Asset register'!$B$5:$B$18,$A24,'Asset register'!$P$5:$P$18)</f>
        <v>64260000</v>
      </c>
      <c r="D24" s="19" t="n">
        <f aca="false">IF(B24=0,0,C24/B24/12)</f>
        <v>21000</v>
      </c>
      <c r="E24" s="19" t="n">
        <f aca="false">SUMIF('Asset register'!$B$5:$B$18,$A24,'Asset register'!$O$5:$O$18)</f>
        <v>504000</v>
      </c>
      <c r="F24" s="20" t="n">
        <f aca="false">IF(E24=0,0,C24/E24)</f>
        <v>127.5</v>
      </c>
    </row>
    <row r="25" customFormat="false" ht="15" hidden="false" customHeight="false" outlineLevel="0" collapsed="false">
      <c r="A25" s="15" t="str">
        <f aca="false">A7</f>
        <v>Nottinghamshire</v>
      </c>
      <c r="B25" s="18" t="n">
        <f aca="false">SUMIF('Asset register'!$B$5:$B$18,$A25,'Asset register'!$G$5:$G$18)</f>
        <v>173</v>
      </c>
      <c r="C25" s="19" t="n">
        <f aca="false">SUMIF('Asset register'!$B$5:$B$18,$A25,'Asset register'!$P$5:$P$18)</f>
        <v>38406000</v>
      </c>
      <c r="D25" s="19" t="n">
        <f aca="false">IF(B25=0,0,C25/B25/12)</f>
        <v>18500</v>
      </c>
      <c r="E25" s="19" t="n">
        <f aca="false">SUMIF('Asset register'!$B$5:$B$18,$A25,'Asset register'!$O$5:$O$18)</f>
        <v>666000</v>
      </c>
      <c r="F25" s="20" t="n">
        <f aca="false">IF(E25=0,0,C25/E25)</f>
        <v>57.6666666666667</v>
      </c>
    </row>
    <row r="26" customFormat="false" ht="15" hidden="false" customHeight="false" outlineLevel="0" collapsed="false">
      <c r="A26" s="15" t="str">
        <f aca="false">A8</f>
        <v>Merseyside</v>
      </c>
      <c r="B26" s="18" t="n">
        <f aca="false">SUMIF('Asset register'!$B$5:$B$18,$A26,'Asset register'!$G$5:$G$18)</f>
        <v>165</v>
      </c>
      <c r="C26" s="19" t="n">
        <f aca="false">SUMIF('Asset register'!$B$5:$B$18,$A26,'Asset register'!$P$5:$P$18)</f>
        <v>33825000</v>
      </c>
      <c r="D26" s="19" t="n">
        <f aca="false">IF(B26=0,0,C26/B26/12)</f>
        <v>17083.3333333333</v>
      </c>
      <c r="E26" s="19" t="n">
        <f aca="false">SUMIF('Asset register'!$B$5:$B$18,$A26,'Asset register'!$O$5:$O$18)</f>
        <v>615000</v>
      </c>
      <c r="F26" s="20" t="n">
        <f aca="false">IF(E26=0,0,C26/E26)</f>
        <v>55</v>
      </c>
    </row>
    <row r="27" customFormat="false" ht="15" hidden="false" customHeight="false" outlineLevel="0" collapsed="false">
      <c r="A27" s="15" t="str">
        <f aca="false">A9</f>
        <v>West Midlands</v>
      </c>
      <c r="B27" s="18" t="n">
        <f aca="false">SUMIF('Asset register'!$B$5:$B$18,$A27,'Asset register'!$G$5:$G$18)</f>
        <v>155</v>
      </c>
      <c r="C27" s="19" t="n">
        <f aca="false">SUMIF('Asset register'!$B$5:$B$18,$A27,'Asset register'!$P$5:$P$18)</f>
        <v>35340000</v>
      </c>
      <c r="D27" s="19" t="n">
        <f aca="false">IF(B27=0,0,C27/B27/12)</f>
        <v>19000</v>
      </c>
      <c r="E27" s="19" t="n">
        <f aca="false">SUMIF('Asset register'!$B$5:$B$18,$A27,'Asset register'!$O$5:$O$18)</f>
        <v>684000</v>
      </c>
      <c r="F27" s="20" t="n">
        <f aca="false">IF(E27=0,0,C27/E27)</f>
        <v>51.6666666666667</v>
      </c>
    </row>
    <row r="28" customFormat="false" ht="15" hidden="false" customHeight="false" outlineLevel="0" collapsed="false">
      <c r="A28" s="21" t="s">
        <v>69</v>
      </c>
      <c r="B28" s="22" t="n">
        <f aca="false">SUM(B23:B27)</f>
        <v>980</v>
      </c>
      <c r="C28" s="23" t="n">
        <f aca="false">SUM(C23:C27)</f>
        <v>234007000</v>
      </c>
      <c r="D28" s="23" t="n">
        <f aca="false">C28/B28/12</f>
        <v>19898.5544217687</v>
      </c>
      <c r="E28" s="23" t="n">
        <f aca="false">SUM(E23:E27)</f>
        <v>3273000</v>
      </c>
      <c r="F28" s="24" t="n">
        <f aca="false">C28/E28</f>
        <v>71.4961808738161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6" min="3" style="0" width="8"/>
    <col collapsed="false" customWidth="true" hidden="false" outlineLevel="0" max="7" min="7" style="0" width="9"/>
    <col collapsed="false" customWidth="true" hidden="false" outlineLevel="0" max="8" min="8" style="0" width="7"/>
    <col collapsed="false" customWidth="true" hidden="false" outlineLevel="0" max="9" min="9" style="0" width="15"/>
    <col collapsed="false" customWidth="true" hidden="false" outlineLevel="0" max="13" min="10" style="0" width="9"/>
    <col collapsed="false" customWidth="true" hidden="false" outlineLevel="0" max="14" min="14" style="0" width="8"/>
    <col collapsed="false" customWidth="true" hidden="false" outlineLevel="0" max="15" min="15" style="0" width="15"/>
    <col collapsed="false" customWidth="true" hidden="false" outlineLevel="0" max="16" min="16" style="0" width="16"/>
    <col collapsed="false" customWidth="true" hidden="false" outlineLevel="0" max="17" min="17" style="0" width="17"/>
    <col collapsed="false" customWidth="true" hidden="false" outlineLevel="0" max="18" min="18" style="0" width="14"/>
    <col collapsed="false" customWidth="true" hidden="false" outlineLevel="0" max="19" min="19" style="0" width="22"/>
  </cols>
  <sheetData>
    <row r="1" customFormat="false" ht="21.75" hidden="false" customHeight="true" outlineLevel="0" collapsed="false">
      <c r="A1" s="1" t="s">
        <v>70</v>
      </c>
    </row>
    <row r="2" customFormat="false" ht="15" hidden="false" customHeight="false" outlineLevel="0" collapsed="false">
      <c r="A2" s="2" t="s">
        <v>71</v>
      </c>
    </row>
    <row r="4" customFormat="false" ht="30" hidden="false" customHeight="true" outlineLevel="0" collapsed="false">
      <c r="A4" s="5" t="s">
        <v>72</v>
      </c>
      <c r="B4" s="6" t="s">
        <v>49</v>
      </c>
      <c r="C4" s="6" t="s">
        <v>50</v>
      </c>
      <c r="D4" s="6" t="s">
        <v>51</v>
      </c>
      <c r="E4" s="6" t="s">
        <v>52</v>
      </c>
      <c r="F4" s="6" t="s">
        <v>53</v>
      </c>
      <c r="G4" s="6" t="s">
        <v>64</v>
      </c>
      <c r="H4" s="6" t="s">
        <v>73</v>
      </c>
      <c r="I4" s="6" t="s">
        <v>74</v>
      </c>
      <c r="J4" s="6" t="s">
        <v>75</v>
      </c>
      <c r="K4" s="6" t="s">
        <v>76</v>
      </c>
      <c r="L4" s="6" t="s">
        <v>77</v>
      </c>
      <c r="M4" s="6" t="s">
        <v>78</v>
      </c>
      <c r="N4" s="6" t="s">
        <v>79</v>
      </c>
      <c r="O4" s="6" t="s">
        <v>54</v>
      </c>
      <c r="P4" s="6" t="s">
        <v>67</v>
      </c>
      <c r="Q4" s="6" t="s">
        <v>65</v>
      </c>
      <c r="R4" s="6" t="s">
        <v>68</v>
      </c>
      <c r="S4" s="6" t="s">
        <v>80</v>
      </c>
    </row>
    <row r="5" customFormat="false" ht="15" hidden="false" customHeight="false" outlineLevel="0" collapsed="false">
      <c r="A5" s="7" t="s">
        <v>81</v>
      </c>
      <c r="B5" s="7" t="s">
        <v>55</v>
      </c>
      <c r="C5" s="25" t="n">
        <v>10</v>
      </c>
      <c r="D5" s="25" t="n">
        <v>28</v>
      </c>
      <c r="E5" s="25" t="n">
        <v>42</v>
      </c>
      <c r="F5" s="25" t="n">
        <v>16</v>
      </c>
      <c r="G5" s="18" t="n">
        <f aca="false">SUM(C5:F5)</f>
        <v>96</v>
      </c>
      <c r="H5" s="26" t="s">
        <v>82</v>
      </c>
      <c r="I5" s="27" t="s">
        <v>83</v>
      </c>
      <c r="J5" s="25" t="n">
        <v>34</v>
      </c>
      <c r="K5" s="25" t="n">
        <v>62</v>
      </c>
      <c r="L5" s="25" t="n">
        <v>0</v>
      </c>
      <c r="M5" s="25" t="n">
        <v>0</v>
      </c>
      <c r="N5" s="18" t="n">
        <f aca="false">G5-SUM(J5:M5)</f>
        <v>0</v>
      </c>
      <c r="O5" s="19" t="n">
        <f aca="false">VLOOKUP($B5,'Rent assumptions'!$A$5:$F$9,6,0)</f>
        <v>268000</v>
      </c>
      <c r="P5" s="19" t="n">
        <f aca="false">G5*O5</f>
        <v>25728000</v>
      </c>
      <c r="Q5" s="19" t="n">
        <f aca="false">(C5*VLOOKUP($B5,'Rent assumptions'!$A$5:$F$9,2,0)+D5*VLOOKUP($B5,'Rent assumptions'!$A$5:$F$9,3,0)+E5*VLOOKUP($B5,'Rent assumptions'!$A$5:$F$9,4,0)+F5*VLOOKUP($B5,'Rent assumptions'!$A$5:$F$9,5,0))*12*(1+Assumptions!$B$5)</f>
        <v>1363440</v>
      </c>
      <c r="R5" s="20" t="n">
        <f aca="false">P5/O5</f>
        <v>96</v>
      </c>
      <c r="S5" s="28" t="s">
        <v>84</v>
      </c>
    </row>
    <row r="6" customFormat="false" ht="15" hidden="false" customHeight="false" outlineLevel="0" collapsed="false">
      <c r="A6" s="7" t="s">
        <v>85</v>
      </c>
      <c r="B6" s="7" t="s">
        <v>55</v>
      </c>
      <c r="C6" s="25" t="n">
        <v>6</v>
      </c>
      <c r="D6" s="25" t="n">
        <v>20</v>
      </c>
      <c r="E6" s="25" t="n">
        <v>34</v>
      </c>
      <c r="F6" s="25" t="n">
        <v>14</v>
      </c>
      <c r="G6" s="18" t="n">
        <f aca="false">SUM(C6:F6)</f>
        <v>74</v>
      </c>
      <c r="H6" s="26" t="s">
        <v>86</v>
      </c>
      <c r="I6" s="27" t="s">
        <v>87</v>
      </c>
      <c r="J6" s="25" t="n">
        <v>0</v>
      </c>
      <c r="K6" s="25" t="n">
        <v>40</v>
      </c>
      <c r="L6" s="25" t="n">
        <v>34</v>
      </c>
      <c r="M6" s="25" t="n">
        <v>0</v>
      </c>
      <c r="N6" s="18" t="n">
        <f aca="false">G6-SUM(J6:M6)</f>
        <v>0</v>
      </c>
      <c r="O6" s="19" t="n">
        <f aca="false">VLOOKUP($B6,'Rent assumptions'!$A$5:$F$9,6,0)</f>
        <v>268000</v>
      </c>
      <c r="P6" s="19" t="n">
        <f aca="false">G6*O6</f>
        <v>19832000</v>
      </c>
      <c r="Q6" s="19" t="n">
        <f aca="false">(C6*VLOOKUP($B6,'Rent assumptions'!$A$5:$F$9,2,0)+D6*VLOOKUP($B6,'Rent assumptions'!$A$5:$F$9,3,0)+E6*VLOOKUP($B6,'Rent assumptions'!$A$5:$F$9,4,0)+F6*VLOOKUP($B6,'Rent assumptions'!$A$5:$F$9,5,0))*12*(1+Assumptions!$B$5)</f>
        <v>1068360</v>
      </c>
      <c r="R6" s="20" t="n">
        <f aca="false">P6/O6</f>
        <v>74</v>
      </c>
      <c r="S6" s="28" t="s">
        <v>88</v>
      </c>
    </row>
    <row r="7" customFormat="false" ht="15" hidden="false" customHeight="false" outlineLevel="0" collapsed="false">
      <c r="A7" s="7" t="s">
        <v>89</v>
      </c>
      <c r="B7" s="7" t="s">
        <v>55</v>
      </c>
      <c r="C7" s="25" t="n">
        <v>4</v>
      </c>
      <c r="D7" s="25" t="n">
        <v>17</v>
      </c>
      <c r="E7" s="25" t="n">
        <v>28</v>
      </c>
      <c r="F7" s="25" t="n">
        <v>13</v>
      </c>
      <c r="G7" s="18" t="n">
        <f aca="false">SUM(C7:F7)</f>
        <v>62</v>
      </c>
      <c r="H7" s="26" t="s">
        <v>86</v>
      </c>
      <c r="I7" s="27" t="s">
        <v>90</v>
      </c>
      <c r="J7" s="25" t="n">
        <v>0</v>
      </c>
      <c r="K7" s="25" t="n">
        <v>0</v>
      </c>
      <c r="L7" s="25" t="n">
        <v>36</v>
      </c>
      <c r="M7" s="25" t="n">
        <v>26</v>
      </c>
      <c r="N7" s="18" t="n">
        <f aca="false">G7-SUM(J7:M7)</f>
        <v>0</v>
      </c>
      <c r="O7" s="19" t="n">
        <f aca="false">VLOOKUP($B7,'Rent assumptions'!$A$5:$F$9,6,0)</f>
        <v>268000</v>
      </c>
      <c r="P7" s="19" t="n">
        <f aca="false">G7*O7</f>
        <v>16616000</v>
      </c>
      <c r="Q7" s="19" t="n">
        <f aca="false">(C7*VLOOKUP($B7,'Rent assumptions'!$A$5:$F$9,2,0)+D7*VLOOKUP($B7,'Rent assumptions'!$A$5:$F$9,3,0)+E7*VLOOKUP($B7,'Rent assumptions'!$A$5:$F$9,4,0)+F7*VLOOKUP($B7,'Rent assumptions'!$A$5:$F$9,5,0))*12*(1+Assumptions!$B$5)</f>
        <v>903120</v>
      </c>
      <c r="R7" s="20" t="n">
        <f aca="false">P7/O7</f>
        <v>62</v>
      </c>
      <c r="S7" s="28" t="s">
        <v>88</v>
      </c>
    </row>
    <row r="8" customFormat="false" ht="15" hidden="false" customHeight="false" outlineLevel="0" collapsed="false">
      <c r="A8" s="7" t="s">
        <v>91</v>
      </c>
      <c r="B8" s="7" t="s">
        <v>57</v>
      </c>
      <c r="C8" s="25" t="n">
        <v>6</v>
      </c>
      <c r="D8" s="25" t="n">
        <v>19</v>
      </c>
      <c r="E8" s="25" t="n">
        <v>30</v>
      </c>
      <c r="F8" s="25" t="n">
        <v>13</v>
      </c>
      <c r="G8" s="18" t="n">
        <f aca="false">SUM(C8:F8)</f>
        <v>68</v>
      </c>
      <c r="H8" s="26" t="s">
        <v>86</v>
      </c>
      <c r="I8" s="27" t="s">
        <v>92</v>
      </c>
      <c r="J8" s="25" t="n">
        <v>0</v>
      </c>
      <c r="K8" s="25" t="n">
        <v>38</v>
      </c>
      <c r="L8" s="25" t="n">
        <v>30</v>
      </c>
      <c r="M8" s="25" t="n">
        <v>0</v>
      </c>
      <c r="N8" s="18" t="n">
        <f aca="false">G8-SUM(J8:M8)</f>
        <v>0</v>
      </c>
      <c r="O8" s="19" t="n">
        <f aca="false">VLOOKUP($B8,'Rent assumptions'!$A$5:$F$9,6,0)</f>
        <v>222000</v>
      </c>
      <c r="P8" s="19" t="n">
        <f aca="false">G8*O8</f>
        <v>15096000</v>
      </c>
      <c r="Q8" s="19" t="n">
        <f aca="false">(C8*VLOOKUP($B8,'Rent assumptions'!$A$5:$F$9,2,0)+D8*VLOOKUP($B8,'Rent assumptions'!$A$5:$F$9,3,0)+E8*VLOOKUP($B8,'Rent assumptions'!$A$5:$F$9,4,0)+F8*VLOOKUP($B8,'Rent assumptions'!$A$5:$F$9,5,0))*12*(1+Assumptions!$B$5)</f>
        <v>873000</v>
      </c>
      <c r="R8" s="20" t="n">
        <f aca="false">P8/O8</f>
        <v>68</v>
      </c>
      <c r="S8" s="28" t="s">
        <v>88</v>
      </c>
    </row>
    <row r="9" customFormat="false" ht="15" hidden="false" customHeight="false" outlineLevel="0" collapsed="false">
      <c r="A9" s="7" t="s">
        <v>93</v>
      </c>
      <c r="B9" s="7" t="s">
        <v>57</v>
      </c>
      <c r="C9" s="25" t="n">
        <v>4</v>
      </c>
      <c r="D9" s="25" t="n">
        <v>15</v>
      </c>
      <c r="E9" s="25" t="n">
        <v>27</v>
      </c>
      <c r="F9" s="25" t="n">
        <v>12</v>
      </c>
      <c r="G9" s="18" t="n">
        <f aca="false">SUM(C9:F9)</f>
        <v>58</v>
      </c>
      <c r="H9" s="26" t="s">
        <v>86</v>
      </c>
      <c r="I9" s="27" t="s">
        <v>90</v>
      </c>
      <c r="J9" s="25" t="n">
        <v>0</v>
      </c>
      <c r="K9" s="25" t="n">
        <v>0</v>
      </c>
      <c r="L9" s="25" t="n">
        <v>30</v>
      </c>
      <c r="M9" s="25" t="n">
        <v>28</v>
      </c>
      <c r="N9" s="18" t="n">
        <f aca="false">G9-SUM(J9:M9)</f>
        <v>0</v>
      </c>
      <c r="O9" s="19" t="n">
        <f aca="false">VLOOKUP($B9,'Rent assumptions'!$A$5:$F$9,6,0)</f>
        <v>222000</v>
      </c>
      <c r="P9" s="19" t="n">
        <f aca="false">G9*O9</f>
        <v>12876000</v>
      </c>
      <c r="Q9" s="19" t="n">
        <f aca="false">(C9*VLOOKUP($B9,'Rent assumptions'!$A$5:$F$9,2,0)+D9*VLOOKUP($B9,'Rent assumptions'!$A$5:$F$9,3,0)+E9*VLOOKUP($B9,'Rent assumptions'!$A$5:$F$9,4,0)+F9*VLOOKUP($B9,'Rent assumptions'!$A$5:$F$9,5,0))*12*(1+Assumptions!$B$5)</f>
        <v>754140</v>
      </c>
      <c r="R9" s="20" t="n">
        <f aca="false">P9/O9</f>
        <v>58</v>
      </c>
      <c r="S9" s="28" t="s">
        <v>88</v>
      </c>
    </row>
    <row r="10" customFormat="false" ht="15" hidden="false" customHeight="false" outlineLevel="0" collapsed="false">
      <c r="A10" s="7" t="s">
        <v>94</v>
      </c>
      <c r="B10" s="7" t="s">
        <v>57</v>
      </c>
      <c r="C10" s="25" t="n">
        <v>3</v>
      </c>
      <c r="D10" s="25" t="n">
        <v>12</v>
      </c>
      <c r="E10" s="25" t="n">
        <v>22</v>
      </c>
      <c r="F10" s="25" t="n">
        <v>10</v>
      </c>
      <c r="G10" s="18" t="n">
        <f aca="false">SUM(C10:F10)</f>
        <v>47</v>
      </c>
      <c r="H10" s="26" t="s">
        <v>86</v>
      </c>
      <c r="I10" s="27" t="s">
        <v>95</v>
      </c>
      <c r="J10" s="25" t="n">
        <v>0</v>
      </c>
      <c r="K10" s="25" t="n">
        <v>0</v>
      </c>
      <c r="L10" s="25" t="n">
        <v>0</v>
      </c>
      <c r="M10" s="25" t="n">
        <v>47</v>
      </c>
      <c r="N10" s="18" t="n">
        <f aca="false">G10-SUM(J10:M10)</f>
        <v>0</v>
      </c>
      <c r="O10" s="19" t="n">
        <f aca="false">VLOOKUP($B10,'Rent assumptions'!$A$5:$F$9,6,0)</f>
        <v>222000</v>
      </c>
      <c r="P10" s="19" t="n">
        <f aca="false">G10*O10</f>
        <v>10434000</v>
      </c>
      <c r="Q10" s="19" t="n">
        <f aca="false">(C10*VLOOKUP($B10,'Rent assumptions'!$A$5:$F$9,2,0)+D10*VLOOKUP($B10,'Rent assumptions'!$A$5:$F$9,3,0)+E10*VLOOKUP($B10,'Rent assumptions'!$A$5:$F$9,4,0)+F10*VLOOKUP($B10,'Rent assumptions'!$A$5:$F$9,5,0))*12*(1+Assumptions!$B$5)</f>
        <v>613140</v>
      </c>
      <c r="R10" s="20" t="n">
        <f aca="false">P10/O10</f>
        <v>47</v>
      </c>
      <c r="S10" s="28" t="s">
        <v>88</v>
      </c>
    </row>
    <row r="11" customFormat="false" ht="15" hidden="false" customHeight="false" outlineLevel="0" collapsed="false">
      <c r="A11" s="7" t="s">
        <v>96</v>
      </c>
      <c r="B11" s="7" t="s">
        <v>58</v>
      </c>
      <c r="C11" s="25" t="n">
        <v>6</v>
      </c>
      <c r="D11" s="25" t="n">
        <v>20</v>
      </c>
      <c r="E11" s="25" t="n">
        <v>30</v>
      </c>
      <c r="F11" s="25" t="n">
        <v>10</v>
      </c>
      <c r="G11" s="18" t="n">
        <f aca="false">SUM(C11:F11)</f>
        <v>66</v>
      </c>
      <c r="H11" s="26" t="s">
        <v>82</v>
      </c>
      <c r="I11" s="27" t="s">
        <v>92</v>
      </c>
      <c r="J11" s="25" t="n">
        <v>0</v>
      </c>
      <c r="K11" s="25" t="n">
        <v>30</v>
      </c>
      <c r="L11" s="25" t="n">
        <v>36</v>
      </c>
      <c r="M11" s="25" t="n">
        <v>0</v>
      </c>
      <c r="N11" s="18" t="n">
        <f aca="false">G11-SUM(J11:M11)</f>
        <v>0</v>
      </c>
      <c r="O11" s="19" t="n">
        <f aca="false">VLOOKUP($B11,'Rent assumptions'!$A$5:$F$9,6,0)</f>
        <v>205000</v>
      </c>
      <c r="P11" s="19" t="n">
        <f aca="false">G11*O11</f>
        <v>13530000</v>
      </c>
      <c r="Q11" s="19" t="n">
        <f aca="false">(C11*VLOOKUP($B11,'Rent assumptions'!$A$5:$F$9,2,0)+D11*VLOOKUP($B11,'Rent assumptions'!$A$5:$F$9,3,0)+E11*VLOOKUP($B11,'Rent assumptions'!$A$5:$F$9,4,0)+F11*VLOOKUP($B11,'Rent assumptions'!$A$5:$F$9,5,0))*12*(1+Assumptions!$B$5)</f>
        <v>790200</v>
      </c>
      <c r="R11" s="20" t="n">
        <f aca="false">P11/O11</f>
        <v>66</v>
      </c>
      <c r="S11" s="28" t="s">
        <v>88</v>
      </c>
    </row>
    <row r="12" customFormat="false" ht="15" hidden="false" customHeight="false" outlineLevel="0" collapsed="false">
      <c r="A12" s="7" t="s">
        <v>97</v>
      </c>
      <c r="B12" s="7" t="s">
        <v>58</v>
      </c>
      <c r="C12" s="25" t="n">
        <v>5</v>
      </c>
      <c r="D12" s="25" t="n">
        <v>16</v>
      </c>
      <c r="E12" s="25" t="n">
        <v>25</v>
      </c>
      <c r="F12" s="25" t="n">
        <v>9</v>
      </c>
      <c r="G12" s="18" t="n">
        <f aca="false">SUM(C12:F12)</f>
        <v>55</v>
      </c>
      <c r="H12" s="26" t="s">
        <v>86</v>
      </c>
      <c r="I12" s="27" t="s">
        <v>98</v>
      </c>
      <c r="J12" s="25" t="n">
        <v>0</v>
      </c>
      <c r="K12" s="25" t="n">
        <v>0</v>
      </c>
      <c r="L12" s="25" t="n">
        <v>25</v>
      </c>
      <c r="M12" s="25" t="n">
        <v>30</v>
      </c>
      <c r="N12" s="18" t="n">
        <f aca="false">G12-SUM(J12:M12)</f>
        <v>0</v>
      </c>
      <c r="O12" s="19" t="n">
        <f aca="false">VLOOKUP($B12,'Rent assumptions'!$A$5:$F$9,6,0)</f>
        <v>205000</v>
      </c>
      <c r="P12" s="19" t="n">
        <f aca="false">G12*O12</f>
        <v>11275000</v>
      </c>
      <c r="Q12" s="19" t="n">
        <f aca="false">(C12*VLOOKUP($B12,'Rent assumptions'!$A$5:$F$9,2,0)+D12*VLOOKUP($B12,'Rent assumptions'!$A$5:$F$9,3,0)+E12*VLOOKUP($B12,'Rent assumptions'!$A$5:$F$9,4,0)+F12*VLOOKUP($B12,'Rent assumptions'!$A$5:$F$9,5,0))*12*(1+Assumptions!$B$5)</f>
        <v>661500</v>
      </c>
      <c r="R12" s="20" t="n">
        <f aca="false">P12/O12</f>
        <v>55</v>
      </c>
      <c r="S12" s="28" t="s">
        <v>88</v>
      </c>
    </row>
    <row r="13" customFormat="false" ht="15" hidden="false" customHeight="false" outlineLevel="0" collapsed="false">
      <c r="A13" s="7" t="s">
        <v>99</v>
      </c>
      <c r="B13" s="7" t="s">
        <v>58</v>
      </c>
      <c r="C13" s="25" t="n">
        <v>4</v>
      </c>
      <c r="D13" s="25" t="n">
        <v>13</v>
      </c>
      <c r="E13" s="25" t="n">
        <v>20</v>
      </c>
      <c r="F13" s="25" t="n">
        <v>7</v>
      </c>
      <c r="G13" s="18" t="n">
        <f aca="false">SUM(C13:F13)</f>
        <v>44</v>
      </c>
      <c r="H13" s="26" t="s">
        <v>86</v>
      </c>
      <c r="I13" s="27" t="s">
        <v>95</v>
      </c>
      <c r="J13" s="25" t="n">
        <v>0</v>
      </c>
      <c r="K13" s="25" t="n">
        <v>0</v>
      </c>
      <c r="L13" s="25" t="n">
        <v>0</v>
      </c>
      <c r="M13" s="25" t="n">
        <v>44</v>
      </c>
      <c r="N13" s="18" t="n">
        <f aca="false">G13-SUM(J13:M13)</f>
        <v>0</v>
      </c>
      <c r="O13" s="19" t="n">
        <f aca="false">VLOOKUP($B13,'Rent assumptions'!$A$5:$F$9,6,0)</f>
        <v>205000</v>
      </c>
      <c r="P13" s="19" t="n">
        <f aca="false">G13*O13</f>
        <v>9020000</v>
      </c>
      <c r="Q13" s="19" t="n">
        <f aca="false">(C13*VLOOKUP($B13,'Rent assumptions'!$A$5:$F$9,2,0)+D13*VLOOKUP($B13,'Rent assumptions'!$A$5:$F$9,3,0)+E13*VLOOKUP($B13,'Rent assumptions'!$A$5:$F$9,4,0)+F13*VLOOKUP($B13,'Rent assumptions'!$A$5:$F$9,5,0))*12*(1+Assumptions!$B$5)</f>
        <v>528300</v>
      </c>
      <c r="R13" s="20" t="n">
        <f aca="false">P13/O13</f>
        <v>44</v>
      </c>
      <c r="S13" s="28" t="s">
        <v>88</v>
      </c>
    </row>
    <row r="14" customFormat="false" ht="15" hidden="false" customHeight="false" outlineLevel="0" collapsed="false">
      <c r="A14" s="7" t="s">
        <v>100</v>
      </c>
      <c r="B14" s="7" t="s">
        <v>59</v>
      </c>
      <c r="C14" s="25" t="n">
        <v>7</v>
      </c>
      <c r="D14" s="25" t="n">
        <v>23</v>
      </c>
      <c r="E14" s="25" t="n">
        <v>40</v>
      </c>
      <c r="F14" s="25" t="n">
        <v>18</v>
      </c>
      <c r="G14" s="18" t="n">
        <f aca="false">SUM(C14:F14)</f>
        <v>88</v>
      </c>
      <c r="H14" s="26" t="s">
        <v>82</v>
      </c>
      <c r="I14" s="27" t="s">
        <v>83</v>
      </c>
      <c r="J14" s="25" t="n">
        <v>28</v>
      </c>
      <c r="K14" s="25" t="n">
        <v>60</v>
      </c>
      <c r="L14" s="25" t="n">
        <v>0</v>
      </c>
      <c r="M14" s="25" t="n">
        <v>0</v>
      </c>
      <c r="N14" s="18" t="n">
        <f aca="false">G14-SUM(J14:M14)</f>
        <v>0</v>
      </c>
      <c r="O14" s="19" t="n">
        <f aca="false">VLOOKUP($B14,'Rent assumptions'!$A$5:$F$9,6,0)</f>
        <v>228000</v>
      </c>
      <c r="P14" s="19" t="n">
        <f aca="false">G14*O14</f>
        <v>20064000</v>
      </c>
      <c r="Q14" s="19" t="n">
        <f aca="false">(C14*VLOOKUP($B14,'Rent assumptions'!$A$5:$F$9,2,0)+D14*VLOOKUP($B14,'Rent assumptions'!$A$5:$F$9,3,0)+E14*VLOOKUP($B14,'Rent assumptions'!$A$5:$F$9,4,0)+F14*VLOOKUP($B14,'Rent assumptions'!$A$5:$F$9,5,0))*12*(1+Assumptions!$B$5)</f>
        <v>1176300</v>
      </c>
      <c r="R14" s="20" t="n">
        <f aca="false">P14/O14</f>
        <v>88</v>
      </c>
      <c r="S14" s="28" t="s">
        <v>84</v>
      </c>
    </row>
    <row r="15" customFormat="false" ht="15" hidden="false" customHeight="false" outlineLevel="0" collapsed="false">
      <c r="A15" s="7" t="s">
        <v>101</v>
      </c>
      <c r="B15" s="7" t="s">
        <v>59</v>
      </c>
      <c r="C15" s="25" t="n">
        <v>3</v>
      </c>
      <c r="D15" s="25" t="n">
        <v>11</v>
      </c>
      <c r="E15" s="25" t="n">
        <v>18</v>
      </c>
      <c r="F15" s="25" t="n">
        <v>8</v>
      </c>
      <c r="G15" s="18" t="n">
        <f aca="false">SUM(C15:F15)</f>
        <v>40</v>
      </c>
      <c r="H15" s="26" t="s">
        <v>86</v>
      </c>
      <c r="I15" s="27" t="s">
        <v>98</v>
      </c>
      <c r="J15" s="25" t="n">
        <v>0</v>
      </c>
      <c r="K15" s="25" t="n">
        <v>0</v>
      </c>
      <c r="L15" s="25" t="n">
        <v>40</v>
      </c>
      <c r="M15" s="25" t="n">
        <v>0</v>
      </c>
      <c r="N15" s="18" t="n">
        <f aca="false">G15-SUM(J15:M15)</f>
        <v>0</v>
      </c>
      <c r="O15" s="19" t="n">
        <f aca="false">VLOOKUP($B15,'Rent assumptions'!$A$5:$F$9,6,0)</f>
        <v>228000</v>
      </c>
      <c r="P15" s="19" t="n">
        <f aca="false">G15*O15</f>
        <v>9120000</v>
      </c>
      <c r="Q15" s="19" t="n">
        <f aca="false">(C15*VLOOKUP($B15,'Rent assumptions'!$A$5:$F$9,2,0)+D15*VLOOKUP($B15,'Rent assumptions'!$A$5:$F$9,3,0)+E15*VLOOKUP($B15,'Rent assumptions'!$A$5:$F$9,4,0)+F15*VLOOKUP($B15,'Rent assumptions'!$A$5:$F$9,5,0))*12*(1+Assumptions!$B$5)</f>
        <v>533700</v>
      </c>
      <c r="R15" s="20" t="n">
        <f aca="false">P15/O15</f>
        <v>40</v>
      </c>
      <c r="S15" s="28" t="s">
        <v>88</v>
      </c>
    </row>
    <row r="16" customFormat="false" ht="15" hidden="false" customHeight="false" outlineLevel="0" collapsed="false">
      <c r="A16" s="7" t="s">
        <v>102</v>
      </c>
      <c r="B16" s="7" t="s">
        <v>59</v>
      </c>
      <c r="C16" s="25" t="n">
        <v>2</v>
      </c>
      <c r="D16" s="25" t="n">
        <v>7</v>
      </c>
      <c r="E16" s="25" t="n">
        <v>12</v>
      </c>
      <c r="F16" s="25" t="n">
        <v>6</v>
      </c>
      <c r="G16" s="18" t="n">
        <f aca="false">SUM(C16:F16)</f>
        <v>27</v>
      </c>
      <c r="H16" s="26" t="s">
        <v>86</v>
      </c>
      <c r="I16" s="27" t="s">
        <v>95</v>
      </c>
      <c r="J16" s="25" t="n">
        <v>0</v>
      </c>
      <c r="K16" s="25" t="n">
        <v>0</v>
      </c>
      <c r="L16" s="25" t="n">
        <v>0</v>
      </c>
      <c r="M16" s="25" t="n">
        <v>27</v>
      </c>
      <c r="N16" s="18" t="n">
        <f aca="false">G16-SUM(J16:M16)</f>
        <v>0</v>
      </c>
      <c r="O16" s="19" t="n">
        <f aca="false">VLOOKUP($B16,'Rent assumptions'!$A$5:$F$9,6,0)</f>
        <v>228000</v>
      </c>
      <c r="P16" s="19" t="n">
        <f aca="false">G16*O16</f>
        <v>6156000</v>
      </c>
      <c r="Q16" s="19" t="n">
        <f aca="false">(C16*VLOOKUP($B16,'Rent assumptions'!$A$5:$F$9,2,0)+D16*VLOOKUP($B16,'Rent assumptions'!$A$5:$F$9,3,0)+E16*VLOOKUP($B16,'Rent assumptions'!$A$5:$F$9,4,0)+F16*VLOOKUP($B16,'Rent assumptions'!$A$5:$F$9,5,0))*12*(1+Assumptions!$B$5)</f>
        <v>363000</v>
      </c>
      <c r="R16" s="20" t="n">
        <f aca="false">P16/O16</f>
        <v>27</v>
      </c>
      <c r="S16" s="28" t="s">
        <v>88</v>
      </c>
    </row>
    <row r="17" customFormat="false" ht="15" hidden="false" customHeight="false" outlineLevel="0" collapsed="false">
      <c r="A17" s="7" t="s">
        <v>103</v>
      </c>
      <c r="B17" s="7" t="s">
        <v>56</v>
      </c>
      <c r="C17" s="25" t="n">
        <v>11</v>
      </c>
      <c r="D17" s="25" t="n">
        <v>37</v>
      </c>
      <c r="E17" s="25" t="n">
        <v>62</v>
      </c>
      <c r="F17" s="25" t="n">
        <v>28</v>
      </c>
      <c r="G17" s="18" t="n">
        <f aca="false">SUM(C17:F17)</f>
        <v>138</v>
      </c>
      <c r="H17" s="26" t="s">
        <v>82</v>
      </c>
      <c r="I17" s="27" t="s">
        <v>92</v>
      </c>
      <c r="J17" s="25" t="n">
        <v>0</v>
      </c>
      <c r="K17" s="25" t="n">
        <v>48</v>
      </c>
      <c r="L17" s="25" t="n">
        <v>52</v>
      </c>
      <c r="M17" s="25" t="n">
        <v>38</v>
      </c>
      <c r="N17" s="18" t="n">
        <f aca="false">G17-SUM(J17:M17)</f>
        <v>0</v>
      </c>
      <c r="O17" s="19" t="n">
        <f aca="false">VLOOKUP($B17,'Rent assumptions'!$A$5:$F$9,6,0)</f>
        <v>252000</v>
      </c>
      <c r="P17" s="19" t="n">
        <f aca="false">G17*O17</f>
        <v>34776000</v>
      </c>
      <c r="Q17" s="19" t="n">
        <f aca="false">(C17*VLOOKUP($B17,'Rent assumptions'!$A$5:$F$9,2,0)+D17*VLOOKUP($B17,'Rent assumptions'!$A$5:$F$9,3,0)+E17*VLOOKUP($B17,'Rent assumptions'!$A$5:$F$9,4,0)+F17*VLOOKUP($B17,'Rent assumptions'!$A$5:$F$9,5,0))*12*(1+Assumptions!$B$5)</f>
        <v>1879740</v>
      </c>
      <c r="R17" s="20" t="n">
        <f aca="false">P17/O17</f>
        <v>138</v>
      </c>
      <c r="S17" s="28" t="s">
        <v>88</v>
      </c>
    </row>
    <row r="18" customFormat="false" ht="15" hidden="false" customHeight="false" outlineLevel="0" collapsed="false">
      <c r="A18" s="7" t="s">
        <v>104</v>
      </c>
      <c r="B18" s="7" t="s">
        <v>56</v>
      </c>
      <c r="C18" s="25" t="n">
        <v>9</v>
      </c>
      <c r="D18" s="25" t="n">
        <v>31</v>
      </c>
      <c r="E18" s="25" t="n">
        <v>53</v>
      </c>
      <c r="F18" s="25" t="n">
        <v>24</v>
      </c>
      <c r="G18" s="18" t="n">
        <f aca="false">SUM(C18:F18)</f>
        <v>117</v>
      </c>
      <c r="H18" s="26" t="s">
        <v>82</v>
      </c>
      <c r="I18" s="27" t="s">
        <v>98</v>
      </c>
      <c r="J18" s="25" t="n">
        <v>0</v>
      </c>
      <c r="K18" s="25" t="n">
        <v>0</v>
      </c>
      <c r="L18" s="25" t="n">
        <v>55</v>
      </c>
      <c r="M18" s="25" t="n">
        <v>62</v>
      </c>
      <c r="N18" s="18" t="n">
        <f aca="false">G18-SUM(J18:M18)</f>
        <v>0</v>
      </c>
      <c r="O18" s="19" t="n">
        <f aca="false">VLOOKUP($B18,'Rent assumptions'!$A$5:$F$9,6,0)</f>
        <v>252000</v>
      </c>
      <c r="P18" s="19" t="n">
        <f aca="false">G18*O18</f>
        <v>29484000</v>
      </c>
      <c r="Q18" s="19" t="n">
        <f aca="false">(C18*VLOOKUP($B18,'Rent assumptions'!$A$5:$F$9,2,0)+D18*VLOOKUP($B18,'Rent assumptions'!$A$5:$F$9,3,0)+E18*VLOOKUP($B18,'Rent assumptions'!$A$5:$F$9,4,0)+F18*VLOOKUP($B18,'Rent assumptions'!$A$5:$F$9,5,0))*12*(1+Assumptions!$B$5)</f>
        <v>1596960</v>
      </c>
      <c r="R18" s="20" t="n">
        <f aca="false">P18/O18</f>
        <v>117</v>
      </c>
      <c r="S18" s="28" t="s">
        <v>88</v>
      </c>
    </row>
    <row r="19" customFormat="false" ht="15" hidden="false" customHeight="false" outlineLevel="0" collapsed="false">
      <c r="A19" s="21" t="s">
        <v>69</v>
      </c>
      <c r="B19" s="21" t="s">
        <v>105</v>
      </c>
      <c r="C19" s="22" t="n">
        <f aca="false">SUM(C5:C18)</f>
        <v>80</v>
      </c>
      <c r="D19" s="22" t="n">
        <f aca="false">SUM(D5:D18)</f>
        <v>269</v>
      </c>
      <c r="E19" s="22" t="n">
        <f aca="false">SUM(E5:E18)</f>
        <v>443</v>
      </c>
      <c r="F19" s="22" t="n">
        <f aca="false">SUM(F5:F18)</f>
        <v>188</v>
      </c>
      <c r="G19" s="22" t="n">
        <f aca="false">SUM(G5:G18)</f>
        <v>980</v>
      </c>
      <c r="H19" s="29"/>
      <c r="I19" s="29"/>
      <c r="J19" s="22" t="n">
        <f aca="false">SUM(J5:J18)</f>
        <v>62</v>
      </c>
      <c r="K19" s="22" t="n">
        <f aca="false">SUM(K5:K18)</f>
        <v>278</v>
      </c>
      <c r="L19" s="22" t="n">
        <f aca="false">SUM(L5:L18)</f>
        <v>338</v>
      </c>
      <c r="M19" s="22" t="n">
        <f aca="false">SUM(M5:M18)</f>
        <v>302</v>
      </c>
      <c r="N19" s="22" t="n">
        <f aca="false">SUM(N5:N18)</f>
        <v>0</v>
      </c>
      <c r="O19" s="23" t="n">
        <f aca="false">P19/G19</f>
        <v>238782.653061225</v>
      </c>
      <c r="P19" s="23" t="n">
        <f aca="false">SUM(P5:P18)</f>
        <v>234007000</v>
      </c>
      <c r="Q19" s="23" t="n">
        <f aca="false">SUM(Q5:Q18)</f>
        <v>13104900</v>
      </c>
      <c r="R19" s="24" t="n">
        <f aca="false">Q19/P19</f>
        <v>0.0560021708752302</v>
      </c>
      <c r="S19" s="29"/>
    </row>
    <row r="21" customFormat="false" ht="15" hidden="false" customHeight="false" outlineLevel="0" collapsed="false">
      <c r="A21" s="2" t="s">
        <v>106</v>
      </c>
    </row>
    <row r="22" customFormat="false" ht="15" hidden="false" customHeight="false" outlineLevel="0" collapsed="false">
      <c r="A22" s="2"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8"/>
    <col collapsed="false" customWidth="true" hidden="false" outlineLevel="0" max="4" min="3" style="0" width="14"/>
  </cols>
  <sheetData>
    <row r="1" customFormat="false" ht="21.75" hidden="false" customHeight="true" outlineLevel="0" collapsed="false">
      <c r="A1" s="1" t="s">
        <v>108</v>
      </c>
    </row>
    <row r="2" customFormat="false" ht="15" hidden="false" customHeight="false" outlineLevel="0" collapsed="false">
      <c r="A2" s="2" t="s">
        <v>109</v>
      </c>
    </row>
    <row r="4" customFormat="false" ht="30" hidden="false" customHeight="true" outlineLevel="0" collapsed="false">
      <c r="A4" s="5" t="s">
        <v>110</v>
      </c>
      <c r="B4" s="6" t="s">
        <v>111</v>
      </c>
      <c r="C4" s="6" t="s">
        <v>112</v>
      </c>
      <c r="D4" s="6" t="s">
        <v>113</v>
      </c>
    </row>
    <row r="5" customFormat="false" ht="15" hidden="false" customHeight="false" outlineLevel="0" collapsed="false">
      <c r="A5" s="15" t="s">
        <v>114</v>
      </c>
      <c r="B5" s="30" t="n">
        <f aca="false">'Asset register'!$Q$19</f>
        <v>13104900</v>
      </c>
      <c r="C5" s="31" t="n">
        <f aca="false">B5/$B$5</f>
        <v>1</v>
      </c>
      <c r="D5" s="19" t="n">
        <f aca="false">ABS(B5)/'Asset register'!$G$19</f>
        <v>13372.3469387755</v>
      </c>
    </row>
    <row r="6" customFormat="false" ht="15" hidden="false" customHeight="false" outlineLevel="0" collapsed="false">
      <c r="A6" s="7" t="s">
        <v>115</v>
      </c>
      <c r="B6" s="16" t="n">
        <f aca="false">-$B$5*Assumptions!$B$6</f>
        <v>-589720.5</v>
      </c>
      <c r="C6" s="31" t="n">
        <f aca="false">B6/$B$5</f>
        <v>-0.045</v>
      </c>
      <c r="D6" s="19" t="n">
        <f aca="false">ABS(B6)/'Asset register'!$G$19</f>
        <v>601.755612244898</v>
      </c>
    </row>
    <row r="7" customFormat="false" ht="15" hidden="false" customHeight="false" outlineLevel="0" collapsed="false">
      <c r="A7" s="7" t="s">
        <v>116</v>
      </c>
      <c r="B7" s="16" t="n">
        <f aca="false">-$B$5*Assumptions!$B$7</f>
        <v>-104839.2</v>
      </c>
      <c r="C7" s="31" t="n">
        <f aca="false">B7/$B$5</f>
        <v>-0.008</v>
      </c>
      <c r="D7" s="19" t="n">
        <f aca="false">ABS(B7)/'Asset register'!$G$19</f>
        <v>106.978775510204</v>
      </c>
    </row>
    <row r="8" customFormat="false" ht="15" hidden="false" customHeight="false" outlineLevel="0" collapsed="false">
      <c r="A8" s="32" t="s">
        <v>117</v>
      </c>
      <c r="B8" s="33" t="n">
        <f aca="false">SUM(B5:B7)</f>
        <v>12410340.3</v>
      </c>
      <c r="C8" s="34" t="n">
        <f aca="false">B8/$B$5</f>
        <v>0.947</v>
      </c>
      <c r="D8" s="33" t="n">
        <f aca="false">ABS(B8)/'Asset register'!$G$19</f>
        <v>12663.6125510204</v>
      </c>
    </row>
    <row r="9" customFormat="false" ht="15" hidden="false" customHeight="false" outlineLevel="0" collapsed="false">
      <c r="A9" s="7" t="s">
        <v>118</v>
      </c>
      <c r="B9" s="16" t="n">
        <f aca="false">-$B$5*Assumptions!$B$8</f>
        <v>-458671.5</v>
      </c>
      <c r="C9" s="31" t="n">
        <f aca="false">B9/$B$5</f>
        <v>-0.035</v>
      </c>
      <c r="D9" s="19" t="n">
        <f aca="false">ABS(B9)/'Asset register'!$G$19</f>
        <v>468.032142857143</v>
      </c>
    </row>
    <row r="10" customFormat="false" ht="15" hidden="false" customHeight="false" outlineLevel="0" collapsed="false">
      <c r="A10" s="7" t="s">
        <v>119</v>
      </c>
      <c r="B10" s="16" t="n">
        <f aca="false">-'Asset register'!$G$19*Assumptions!$B$9</f>
        <v>-539000</v>
      </c>
      <c r="C10" s="31" t="n">
        <f aca="false">B10/$B$5</f>
        <v>-0.0411296537936192</v>
      </c>
      <c r="D10" s="19" t="n">
        <f aca="false">ABS(B10)/'Asset register'!$G$19</f>
        <v>550</v>
      </c>
    </row>
    <row r="11" customFormat="false" ht="15" hidden="false" customHeight="false" outlineLevel="0" collapsed="false">
      <c r="A11" s="7" t="s">
        <v>120</v>
      </c>
      <c r="B11" s="16" t="n">
        <f aca="false">-'Asset register'!$G$19*Assumptions!$B$10</f>
        <v>-181300</v>
      </c>
      <c r="C11" s="31" t="n">
        <f aca="false">B11/$B$5</f>
        <v>-0.0138345199123992</v>
      </c>
      <c r="D11" s="19" t="n">
        <f aca="false">ABS(B11)/'Asset register'!$G$19</f>
        <v>185</v>
      </c>
    </row>
    <row r="12" customFormat="false" ht="15" hidden="false" customHeight="false" outlineLevel="0" collapsed="false">
      <c r="A12" s="7" t="s">
        <v>121</v>
      </c>
      <c r="B12" s="16" t="n">
        <f aca="false">-'Asset register'!$G$19*Assumptions!$B$11</f>
        <v>-137200</v>
      </c>
      <c r="C12" s="31" t="n">
        <f aca="false">B12/$B$5</f>
        <v>-0.010469366420194</v>
      </c>
      <c r="D12" s="19" t="n">
        <f aca="false">ABS(B12)/'Asset register'!$G$19</f>
        <v>140</v>
      </c>
    </row>
    <row r="13" customFormat="false" ht="15" hidden="false" customHeight="false" outlineLevel="0" collapsed="false">
      <c r="A13" s="7" t="s">
        <v>122</v>
      </c>
      <c r="B13" s="16" t="n">
        <f aca="false">-'Asset register'!$G$19*Assumptions!$B$12</f>
        <v>-93100</v>
      </c>
      <c r="C13" s="31" t="n">
        <f aca="false">B13/$B$5</f>
        <v>-0.00710421292798877</v>
      </c>
      <c r="D13" s="19" t="n">
        <f aca="false">ABS(B13)/'Asset register'!$G$19</f>
        <v>95</v>
      </c>
    </row>
    <row r="14" customFormat="false" ht="15" hidden="false" customHeight="false" outlineLevel="0" collapsed="false">
      <c r="A14" s="7" t="s">
        <v>123</v>
      </c>
      <c r="B14" s="16" t="n">
        <f aca="false">-'Asset register'!$G$19*Assumptions!$B$13</f>
        <v>-73500</v>
      </c>
      <c r="C14" s="31" t="n">
        <f aca="false">B14/$B$5</f>
        <v>-0.00560858915367534</v>
      </c>
      <c r="D14" s="19" t="n">
        <f aca="false">ABS(B14)/'Asset register'!$G$19</f>
        <v>75</v>
      </c>
    </row>
    <row r="15" customFormat="false" ht="15" hidden="false" customHeight="false" outlineLevel="0" collapsed="false">
      <c r="A15" s="21" t="s">
        <v>124</v>
      </c>
      <c r="B15" s="23" t="n">
        <f aca="false">B8+SUM(B9:B14)</f>
        <v>10927568.8</v>
      </c>
      <c r="C15" s="35" t="n">
        <f aca="false">B15/$B$5</f>
        <v>0.833853657792124</v>
      </c>
      <c r="D15" s="23" t="n">
        <f aca="false">ABS(B15)/'Asset register'!$G$19</f>
        <v>11150.5804081633</v>
      </c>
    </row>
    <row r="17" customFormat="false" ht="15" hidden="false" customHeight="false" outlineLevel="0" collapsed="false">
      <c r="A17" s="3" t="s">
        <v>125</v>
      </c>
    </row>
    <row r="18" customFormat="false" ht="15" hidden="false" customHeight="false" outlineLevel="0" collapsed="false">
      <c r="A18" s="7" t="s">
        <v>126</v>
      </c>
      <c r="B18" s="30" t="n">
        <f aca="false">'Asset register'!$P$19</f>
        <v>234007000</v>
      </c>
    </row>
    <row r="19" customFormat="false" ht="15" hidden="false" customHeight="false" outlineLevel="0" collapsed="false">
      <c r="A19" s="7" t="s">
        <v>43</v>
      </c>
      <c r="B19" s="16" t="n">
        <f aca="false">B18*Assumptions!$B$15</f>
        <v>4212126</v>
      </c>
    </row>
    <row r="20" customFormat="false" ht="15" hidden="false" customHeight="false" outlineLevel="0" collapsed="false">
      <c r="A20" s="32" t="s">
        <v>127</v>
      </c>
      <c r="B20" s="33" t="n">
        <f aca="false">B18+B19</f>
        <v>238219126</v>
      </c>
    </row>
    <row r="21" customFormat="false" ht="15" hidden="false" customHeight="false" outlineLevel="0" collapsed="false">
      <c r="A21" s="7" t="s">
        <v>128</v>
      </c>
      <c r="B21" s="36" t="n">
        <f aca="false">B5/B20</f>
        <v>0.0550119556731142</v>
      </c>
    </row>
    <row r="22" customFormat="false" ht="15" hidden="false" customHeight="false" outlineLevel="0" collapsed="false">
      <c r="A22" s="32" t="s">
        <v>129</v>
      </c>
      <c r="B22" s="37" t="n">
        <f aca="false">B15/B20</f>
        <v>0.0458719204603244</v>
      </c>
    </row>
    <row r="23" customFormat="false" ht="15" hidden="false" customHeight="false" outlineLevel="0" collapsed="false">
      <c r="A23" s="7" t="s">
        <v>130</v>
      </c>
      <c r="B23" s="16" t="n">
        <f aca="false">B15/'Asset register'!$G$19</f>
        <v>11150.5804081633</v>
      </c>
    </row>
    <row r="24" customFormat="false" ht="15" hidden="false" customHeight="false" outlineLevel="0" collapsed="false">
      <c r="A24" s="7" t="s">
        <v>64</v>
      </c>
      <c r="B24" s="38" t="n">
        <f aca="false">'Asset register'!$G$19</f>
        <v>980</v>
      </c>
    </row>
    <row r="26" customFormat="false" ht="15" hidden="false" customHeight="false" outlineLevel="0" collapsed="false">
      <c r="A26" s="2"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7" min="4" style="0" width="14"/>
    <col collapsed="false" customWidth="true" hidden="false" outlineLevel="0" max="8" min="8" style="0" width="13"/>
    <col collapsed="false" customWidth="true" hidden="false" outlineLevel="0" max="9" min="9" style="0" width="14"/>
  </cols>
  <sheetData>
    <row r="1" customFormat="false" ht="21.75" hidden="false" customHeight="true" outlineLevel="0" collapsed="false">
      <c r="A1" s="1" t="s">
        <v>132</v>
      </c>
    </row>
    <row r="2" customFormat="false" ht="15" hidden="false" customHeight="false" outlineLevel="0" collapsed="false">
      <c r="A2" s="2" t="s">
        <v>133</v>
      </c>
    </row>
    <row r="4" customFormat="false" ht="30" hidden="false" customHeight="true" outlineLevel="0" collapsed="false">
      <c r="A4" s="5" t="s">
        <v>134</v>
      </c>
      <c r="B4" s="6" t="s">
        <v>135</v>
      </c>
      <c r="C4" s="6" t="s">
        <v>136</v>
      </c>
      <c r="D4" s="6" t="s">
        <v>137</v>
      </c>
      <c r="E4" s="6" t="s">
        <v>138</v>
      </c>
      <c r="F4" s="6" t="s">
        <v>139</v>
      </c>
      <c r="G4" s="6" t="s">
        <v>140</v>
      </c>
      <c r="H4" s="6" t="s">
        <v>141</v>
      </c>
      <c r="I4" s="6" t="s">
        <v>142</v>
      </c>
    </row>
    <row r="5" customFormat="false" ht="15" hidden="false" customHeight="false" outlineLevel="0" collapsed="false">
      <c r="A5" s="7" t="s">
        <v>143</v>
      </c>
      <c r="B5" s="25" t="n">
        <v>512</v>
      </c>
      <c r="C5" s="31" t="n">
        <f aca="false">B5/Assumptions!$B$16</f>
        <v>0.8561872909699</v>
      </c>
      <c r="D5" s="14" t="n">
        <v>1065</v>
      </c>
      <c r="E5" s="19" t="n">
        <f aca="false">B5*D5</f>
        <v>545280</v>
      </c>
      <c r="F5" s="39" t="n">
        <v>0.976</v>
      </c>
      <c r="G5" s="19" t="n">
        <f aca="false">E5*F5</f>
        <v>532193.28</v>
      </c>
      <c r="H5" s="39" t="n">
        <v>0.024</v>
      </c>
      <c r="I5" s="19" t="n">
        <f aca="false">E5*H5</f>
        <v>13086.72</v>
      </c>
    </row>
    <row r="6" customFormat="false" ht="15" hidden="false" customHeight="false" outlineLevel="0" collapsed="false">
      <c r="A6" s="7" t="s">
        <v>144</v>
      </c>
      <c r="B6" s="25" t="n">
        <v>528</v>
      </c>
      <c r="C6" s="31" t="n">
        <f aca="false">B6/Assumptions!$B$16</f>
        <v>0.882943143812709</v>
      </c>
      <c r="D6" s="14" t="n">
        <v>1065</v>
      </c>
      <c r="E6" s="19" t="n">
        <f aca="false">B6*D6</f>
        <v>562320</v>
      </c>
      <c r="F6" s="39" t="n">
        <v>0.979</v>
      </c>
      <c r="G6" s="19" t="n">
        <f aca="false">E6*F6</f>
        <v>550511.28</v>
      </c>
      <c r="H6" s="39" t="n">
        <v>0.022</v>
      </c>
      <c r="I6" s="19" t="n">
        <f aca="false">E6*H6</f>
        <v>12371.04</v>
      </c>
    </row>
    <row r="7" customFormat="false" ht="15" hidden="false" customHeight="false" outlineLevel="0" collapsed="false">
      <c r="A7" s="7" t="s">
        <v>145</v>
      </c>
      <c r="B7" s="25" t="n">
        <v>541</v>
      </c>
      <c r="C7" s="31" t="n">
        <f aca="false">B7/Assumptions!$B$16</f>
        <v>0.904682274247492</v>
      </c>
      <c r="D7" s="14" t="n">
        <v>1068</v>
      </c>
      <c r="E7" s="19" t="n">
        <f aca="false">B7*D7</f>
        <v>577788</v>
      </c>
      <c r="F7" s="39" t="n">
        <v>0.981</v>
      </c>
      <c r="G7" s="19" t="n">
        <f aca="false">E7*F7</f>
        <v>566810.028</v>
      </c>
      <c r="H7" s="39" t="n">
        <v>0.021</v>
      </c>
      <c r="I7" s="19" t="n">
        <f aca="false">E7*H7</f>
        <v>12133.548</v>
      </c>
    </row>
    <row r="8" customFormat="false" ht="15" hidden="false" customHeight="false" outlineLevel="0" collapsed="false">
      <c r="A8" s="7" t="s">
        <v>146</v>
      </c>
      <c r="B8" s="25" t="n">
        <v>549</v>
      </c>
      <c r="C8" s="31" t="n">
        <f aca="false">B8/Assumptions!$B$16</f>
        <v>0.918060200668896</v>
      </c>
      <c r="D8" s="14" t="n">
        <v>1068</v>
      </c>
      <c r="E8" s="19" t="n">
        <f aca="false">B8*D8</f>
        <v>586332</v>
      </c>
      <c r="F8" s="39" t="n">
        <v>0.974</v>
      </c>
      <c r="G8" s="19" t="n">
        <f aca="false">E8*F8</f>
        <v>571087.368</v>
      </c>
      <c r="H8" s="39" t="n">
        <v>0.026</v>
      </c>
      <c r="I8" s="19" t="n">
        <f aca="false">E8*H8</f>
        <v>15244.632</v>
      </c>
    </row>
    <row r="9" customFormat="false" ht="15" hidden="false" customHeight="false" outlineLevel="0" collapsed="false">
      <c r="A9" s="7" t="s">
        <v>147</v>
      </c>
      <c r="B9" s="25" t="n">
        <v>556</v>
      </c>
      <c r="C9" s="31" t="n">
        <f aca="false">B9/Assumptions!$B$16</f>
        <v>0.929765886287626</v>
      </c>
      <c r="D9" s="14" t="n">
        <v>1072</v>
      </c>
      <c r="E9" s="19" t="n">
        <f aca="false">B9*D9</f>
        <v>596032</v>
      </c>
      <c r="F9" s="39" t="n">
        <v>0.983</v>
      </c>
      <c r="G9" s="19" t="n">
        <f aca="false">E9*F9</f>
        <v>585899.456</v>
      </c>
      <c r="H9" s="39" t="n">
        <v>0.019</v>
      </c>
      <c r="I9" s="19" t="n">
        <f aca="false">E9*H9</f>
        <v>11324.608</v>
      </c>
    </row>
    <row r="10" customFormat="false" ht="15" hidden="false" customHeight="false" outlineLevel="0" collapsed="false">
      <c r="A10" s="7" t="s">
        <v>148</v>
      </c>
      <c r="B10" s="25" t="n">
        <v>562</v>
      </c>
      <c r="C10" s="31" t="n">
        <f aca="false">B10/Assumptions!$B$16</f>
        <v>0.939799331103679</v>
      </c>
      <c r="D10" s="14" t="n">
        <v>1072</v>
      </c>
      <c r="E10" s="19" t="n">
        <f aca="false">B10*D10</f>
        <v>602464</v>
      </c>
      <c r="F10" s="39" t="n">
        <v>0.986</v>
      </c>
      <c r="G10" s="19" t="n">
        <f aca="false">E10*F10</f>
        <v>594029.504</v>
      </c>
      <c r="H10" s="39" t="n">
        <v>0.016</v>
      </c>
      <c r="I10" s="19" t="n">
        <f aca="false">E10*H10</f>
        <v>9639.424</v>
      </c>
    </row>
    <row r="11" customFormat="false" ht="15" hidden="false" customHeight="false" outlineLevel="0" collapsed="false">
      <c r="A11" s="7" t="s">
        <v>149</v>
      </c>
      <c r="B11" s="25" t="n">
        <v>569</v>
      </c>
      <c r="C11" s="31" t="n">
        <f aca="false">B11/Assumptions!$B$16</f>
        <v>0.951505016722408</v>
      </c>
      <c r="D11" s="14" t="n">
        <v>1078</v>
      </c>
      <c r="E11" s="19" t="n">
        <f aca="false">B11*D11</f>
        <v>613382</v>
      </c>
      <c r="F11" s="39" t="n">
        <v>0.988</v>
      </c>
      <c r="G11" s="19" t="n">
        <f aca="false">E11*F11</f>
        <v>606021.416</v>
      </c>
      <c r="H11" s="39" t="n">
        <v>0.014</v>
      </c>
      <c r="I11" s="19" t="n">
        <f aca="false">E11*H11</f>
        <v>8587.348</v>
      </c>
    </row>
    <row r="12" customFormat="false" ht="15" hidden="false" customHeight="false" outlineLevel="0" collapsed="false">
      <c r="A12" s="7" t="s">
        <v>150</v>
      </c>
      <c r="B12" s="25" t="n">
        <v>573</v>
      </c>
      <c r="C12" s="31" t="n">
        <f aca="false">B12/Assumptions!$B$16</f>
        <v>0.95819397993311</v>
      </c>
      <c r="D12" s="14" t="n">
        <v>1085</v>
      </c>
      <c r="E12" s="19" t="n">
        <f aca="false">B12*D12</f>
        <v>621705</v>
      </c>
      <c r="F12" s="39" t="n">
        <v>0.987</v>
      </c>
      <c r="G12" s="19" t="n">
        <f aca="false">E12*F12</f>
        <v>613622.835</v>
      </c>
      <c r="H12" s="39" t="n">
        <v>0.015</v>
      </c>
      <c r="I12" s="19" t="n">
        <f aca="false">E12*H12</f>
        <v>9325.575</v>
      </c>
    </row>
    <row r="13" customFormat="false" ht="15" hidden="false" customHeight="false" outlineLevel="0" collapsed="false">
      <c r="A13" s="7" t="s">
        <v>151</v>
      </c>
      <c r="B13" s="25" t="n">
        <v>578</v>
      </c>
      <c r="C13" s="31" t="n">
        <f aca="false">B13/Assumptions!$B$16</f>
        <v>0.966555183946488</v>
      </c>
      <c r="D13" s="14" t="n">
        <v>1085</v>
      </c>
      <c r="E13" s="19" t="n">
        <f aca="false">B13*D13</f>
        <v>627130</v>
      </c>
      <c r="F13" s="39" t="n">
        <v>0.99</v>
      </c>
      <c r="G13" s="19" t="n">
        <f aca="false">E13*F13</f>
        <v>620858.7</v>
      </c>
      <c r="H13" s="39" t="n">
        <v>0.012</v>
      </c>
      <c r="I13" s="19" t="n">
        <f aca="false">E13*H13</f>
        <v>7525.56</v>
      </c>
    </row>
    <row r="14" customFormat="false" ht="15" hidden="false" customHeight="false" outlineLevel="0" collapsed="false">
      <c r="A14" s="7" t="s">
        <v>152</v>
      </c>
      <c r="B14" s="25" t="n">
        <v>581</v>
      </c>
      <c r="C14" s="31" t="n">
        <f aca="false">B14/Assumptions!$B$16</f>
        <v>0.971571906354515</v>
      </c>
      <c r="D14" s="14" t="n">
        <v>1089</v>
      </c>
      <c r="E14" s="19" t="n">
        <f aca="false">B14*D14</f>
        <v>632709</v>
      </c>
      <c r="F14" s="39" t="n">
        <v>0.991</v>
      </c>
      <c r="G14" s="19" t="n">
        <f aca="false">E14*F14</f>
        <v>627014.619</v>
      </c>
      <c r="H14" s="39" t="n">
        <v>0.011</v>
      </c>
      <c r="I14" s="19" t="n">
        <f aca="false">E14*H14</f>
        <v>6959.799</v>
      </c>
    </row>
    <row r="15" customFormat="false" ht="15" hidden="false" customHeight="false" outlineLevel="0" collapsed="false">
      <c r="A15" s="7" t="s">
        <v>153</v>
      </c>
      <c r="B15" s="25" t="n">
        <v>584</v>
      </c>
      <c r="C15" s="31" t="n">
        <f aca="false">B15/Assumptions!$B$16</f>
        <v>0.976588628762542</v>
      </c>
      <c r="D15" s="14" t="n">
        <v>1092</v>
      </c>
      <c r="E15" s="19" t="n">
        <f aca="false">B15*D15</f>
        <v>637728</v>
      </c>
      <c r="F15" s="39" t="n">
        <v>0.992</v>
      </c>
      <c r="G15" s="19" t="n">
        <f aca="false">E15*F15</f>
        <v>632626.176</v>
      </c>
      <c r="H15" s="39" t="n">
        <v>0.01</v>
      </c>
      <c r="I15" s="19" t="n">
        <f aca="false">E15*H15</f>
        <v>6377.28</v>
      </c>
    </row>
    <row r="16" customFormat="false" ht="15" hidden="false" customHeight="false" outlineLevel="0" collapsed="false">
      <c r="A16" s="7" t="s">
        <v>154</v>
      </c>
      <c r="B16" s="25" t="n">
        <v>586</v>
      </c>
      <c r="C16" s="31" t="n">
        <f aca="false">B16/Assumptions!$B$16</f>
        <v>0.979933110367893</v>
      </c>
      <c r="D16" s="14" t="n">
        <v>1092</v>
      </c>
      <c r="E16" s="19" t="n">
        <f aca="false">B16*D16</f>
        <v>639912</v>
      </c>
      <c r="F16" s="39" t="n">
        <v>0.992</v>
      </c>
      <c r="G16" s="19" t="n">
        <f aca="false">E16*F16</f>
        <v>634792.704</v>
      </c>
      <c r="H16" s="39" t="n">
        <v>0.01</v>
      </c>
      <c r="I16" s="19" t="n">
        <f aca="false">E16*H16</f>
        <v>6399.12</v>
      </c>
    </row>
    <row r="17" customFormat="false" ht="15" hidden="false" customHeight="false" outlineLevel="0" collapsed="false">
      <c r="A17" s="21" t="s">
        <v>155</v>
      </c>
      <c r="B17" s="22" t="n">
        <f aca="false">B16</f>
        <v>586</v>
      </c>
      <c r="C17" s="35" t="n">
        <f aca="false">B17/Assumptions!$B$16</f>
        <v>0.979933110367893</v>
      </c>
      <c r="D17" s="29"/>
      <c r="E17" s="23" t="n">
        <f aca="false">SUM(E5:E16)</f>
        <v>7242782</v>
      </c>
      <c r="F17" s="35" t="n">
        <f aca="false">G17/E17</f>
        <v>0.985183230145543</v>
      </c>
      <c r="G17" s="23" t="n">
        <f aca="false">SUM(G5:G16)</f>
        <v>7135467.366</v>
      </c>
      <c r="H17" s="29"/>
      <c r="I17" s="23" t="n">
        <f aca="false">SUM(I5:I16)</f>
        <v>118974.654</v>
      </c>
    </row>
    <row r="19" customFormat="false" ht="15" hidden="false" customHeight="false" outlineLevel="0" collapsed="false">
      <c r="A19" s="2" t="s">
        <v>156</v>
      </c>
    </row>
    <row r="20" customFormat="false" ht="15" hidden="false" customHeight="false" outlineLevel="0" collapsed="false">
      <c r="A20" s="2"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6"/>
  </cols>
  <sheetData>
    <row r="1" customFormat="false" ht="21.75" hidden="false" customHeight="true" outlineLevel="0" collapsed="false">
      <c r="A1" s="1" t="s">
        <v>158</v>
      </c>
    </row>
    <row r="2" customFormat="false" ht="15" hidden="false" customHeight="false" outlineLevel="0" collapsed="false">
      <c r="A2" s="2" t="s">
        <v>159</v>
      </c>
    </row>
    <row r="4" customFormat="false" ht="15" hidden="false" customHeight="false" outlineLevel="0" collapsed="false">
      <c r="A4" s="40" t="s">
        <v>160</v>
      </c>
      <c r="B4" s="41" t="n">
        <f aca="false">'Asset register'!$Q$19/(1+Assumptions!$B$5)</f>
        <v>13104900</v>
      </c>
    </row>
    <row r="5" customFormat="false" ht="15" hidden="false" customHeight="false" outlineLevel="0" collapsed="false">
      <c r="A5" s="40" t="s">
        <v>64</v>
      </c>
      <c r="B5" s="42" t="n">
        <f aca="false">'Asset register'!$G$19</f>
        <v>980</v>
      </c>
    </row>
    <row r="6" customFormat="false" ht="15" hidden="false" customHeight="false" outlineLevel="0" collapsed="false">
      <c r="A6" s="40" t="s">
        <v>127</v>
      </c>
      <c r="B6" s="41" t="n">
        <f aca="false">'Budget and yield'!$B$20</f>
        <v>238219126</v>
      </c>
    </row>
    <row r="7" customFormat="false" ht="15" hidden="false" customHeight="false" outlineLevel="0" collapsed="false">
      <c r="A7" s="40" t="s">
        <v>161</v>
      </c>
      <c r="B7" s="41" t="n">
        <f aca="false">Assumptions!$B$14</f>
        <v>1045</v>
      </c>
    </row>
    <row r="9" customFormat="false" ht="15" hidden="false" customHeight="false" outlineLevel="0" collapsed="false">
      <c r="A9" s="3" t="s">
        <v>25</v>
      </c>
      <c r="B9" s="3" t="s">
        <v>162</v>
      </c>
    </row>
    <row r="10" customFormat="false" ht="15" hidden="false" customHeight="false" outlineLevel="0" collapsed="false">
      <c r="A10" s="43" t="s">
        <v>129</v>
      </c>
      <c r="B10" s="44" t="n">
        <v>0</v>
      </c>
      <c r="C10" s="44" t="n">
        <v>0.015</v>
      </c>
      <c r="D10" s="44" t="n">
        <v>0.03</v>
      </c>
      <c r="E10" s="44" t="n">
        <v>0.045</v>
      </c>
    </row>
    <row r="11" customFormat="false" ht="15" hidden="false" customHeight="false" outlineLevel="0" collapsed="false">
      <c r="A11" s="10" t="n">
        <v>0.02</v>
      </c>
      <c r="B11" s="45" t="n">
        <f aca="false">($B$4*(1+B$10)*(1-$A11-Assumptions!$B$7-Assumptions!$B$8)-$B$5*$B$7)/$B$6</f>
        <v>0.0472472193521523</v>
      </c>
      <c r="C11" s="45" t="n">
        <f aca="false">($B$4*(1+C$10)*(1-$A11-Assumptions!$B$7-Assumptions!$B$8)-$B$5*$B$7)/$B$6</f>
        <v>0.0480204123891379</v>
      </c>
      <c r="D11" s="45" t="n">
        <f aca="false">($B$4*(1+D$10)*(1-$A11-Assumptions!$B$7-Assumptions!$B$8)-$B$5*$B$7)/$B$6</f>
        <v>0.0487936054261235</v>
      </c>
      <c r="E11" s="45" t="n">
        <f aca="false">($B$4*(1+E$10)*(1-$A11-Assumptions!$B$7-Assumptions!$B$8)-$B$5*$B$7)/$B$6</f>
        <v>0.0495667984631091</v>
      </c>
    </row>
    <row r="12" customFormat="false" ht="15" hidden="false" customHeight="false" outlineLevel="0" collapsed="false">
      <c r="A12" s="10" t="n">
        <v>0.03</v>
      </c>
      <c r="B12" s="45" t="n">
        <f aca="false">($B$4*(1+B$10)*(1-$A12-Assumptions!$B$7-Assumptions!$B$8)-$B$5*$B$7)/$B$6</f>
        <v>0.0466970997954211</v>
      </c>
      <c r="C12" s="45" t="n">
        <f aca="false">($B$4*(1+C$10)*(1-$A12-Assumptions!$B$7-Assumptions!$B$8)-$B$5*$B$7)/$B$6</f>
        <v>0.0474620410390558</v>
      </c>
      <c r="D12" s="45" t="n">
        <f aca="false">($B$4*(1+D$10)*(1-$A12-Assumptions!$B$7-Assumptions!$B$8)-$B$5*$B$7)/$B$6</f>
        <v>0.0482269822826904</v>
      </c>
      <c r="E12" s="45" t="n">
        <f aca="false">($B$4*(1+E$10)*(1-$A12-Assumptions!$B$7-Assumptions!$B$8)-$B$5*$B$7)/$B$6</f>
        <v>0.0489919235263251</v>
      </c>
    </row>
    <row r="13" customFormat="false" ht="15" hidden="false" customHeight="false" outlineLevel="0" collapsed="false">
      <c r="A13" s="10" t="n">
        <v>0.045</v>
      </c>
      <c r="B13" s="45" t="n">
        <f aca="false">($B$4*(1+B$10)*(1-$A13-Assumptions!$B$7-Assumptions!$B$8)-$B$5*$B$7)/$B$6</f>
        <v>0.0458719204603244</v>
      </c>
      <c r="C13" s="45" t="n">
        <f aca="false">($B$4*(1+C$10)*(1-$A13-Assumptions!$B$7-Assumptions!$B$8)-$B$5*$B$7)/$B$6</f>
        <v>0.0466244840139326</v>
      </c>
      <c r="D13" s="45" t="n">
        <f aca="false">($B$4*(1+D$10)*(1-$A13-Assumptions!$B$7-Assumptions!$B$8)-$B$5*$B$7)/$B$6</f>
        <v>0.0473770475675408</v>
      </c>
      <c r="E13" s="45" t="n">
        <f aca="false">($B$4*(1+E$10)*(1-$A13-Assumptions!$B$7-Assumptions!$B$8)-$B$5*$B$7)/$B$6</f>
        <v>0.048129611121149</v>
      </c>
    </row>
    <row r="14" customFormat="false" ht="15" hidden="false" customHeight="false" outlineLevel="0" collapsed="false">
      <c r="A14" s="10" t="n">
        <v>0.06</v>
      </c>
      <c r="B14" s="45" t="n">
        <f aca="false">($B$4*(1+B$10)*(1-$A14-Assumptions!$B$7-Assumptions!$B$8)-$B$5*$B$7)/$B$6</f>
        <v>0.0450467411252277</v>
      </c>
      <c r="C14" s="45" t="n">
        <f aca="false">($B$4*(1+C$10)*(1-$A14-Assumptions!$B$7-Assumptions!$B$8)-$B$5*$B$7)/$B$6</f>
        <v>0.0457869269888094</v>
      </c>
      <c r="D14" s="45" t="n">
        <f aca="false">($B$4*(1+D$10)*(1-$A14-Assumptions!$B$7-Assumptions!$B$8)-$B$5*$B$7)/$B$6</f>
        <v>0.0465271128523912</v>
      </c>
      <c r="E14" s="45" t="n">
        <f aca="false">($B$4*(1+E$10)*(1-$A14-Assumptions!$B$7-Assumptions!$B$8)-$B$5*$B$7)/$B$6</f>
        <v>0.047267298715973</v>
      </c>
    </row>
    <row r="15" customFormat="false" ht="15" hidden="false" customHeight="false" outlineLevel="0" collapsed="false">
      <c r="A15" s="10" t="n">
        <v>0.075</v>
      </c>
      <c r="B15" s="45" t="n">
        <f aca="false">($B$4*(1+B$10)*(1-$A15-Assumptions!$B$7-Assumptions!$B$8)-$B$5*$B$7)/$B$6</f>
        <v>0.044221561790131</v>
      </c>
      <c r="C15" s="45" t="n">
        <f aca="false">($B$4*(1+C$10)*(1-$A15-Assumptions!$B$7-Assumptions!$B$8)-$B$5*$B$7)/$B$6</f>
        <v>0.0449493699636863</v>
      </c>
      <c r="D15" s="45" t="n">
        <f aca="false">($B$4*(1+D$10)*(1-$A15-Assumptions!$B$7-Assumptions!$B$8)-$B$5*$B$7)/$B$6</f>
        <v>0.0456771781372416</v>
      </c>
      <c r="E15" s="45" t="n">
        <f aca="false">($B$4*(1+E$10)*(1-$A15-Assumptions!$B$7-Assumptions!$B$8)-$B$5*$B$7)/$B$6</f>
        <v>0.0464049863107969</v>
      </c>
    </row>
    <row r="18" customFormat="false" ht="15" hidden="false" customHeight="false" outlineLevel="0" collapsed="false">
      <c r="A18" s="2" t="s">
        <v>163</v>
      </c>
    </row>
    <row r="19" customFormat="false" ht="15" hidden="false" customHeight="false" outlineLevel="0" collapsed="false">
      <c r="A19" s="2"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2026-08-27T17:19:11Z</dcterms:created>
  <dc:creator>openpyxl</dc:creator>
  <dc:description/>
  <dc:language>en-US</dc:language>
  <cp:lastModifiedBy/>
  <dcterms:modified xsi:type="dcterms:W3CDTF">2026-08-27T17:19:11Z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